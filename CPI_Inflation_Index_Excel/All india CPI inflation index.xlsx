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Ex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sc\"/>
    </mc:Choice>
  </mc:AlternateContent>
  <xr:revisionPtr revIDLastSave="0" documentId="13_ncr:1_{21D2FDC8-94B9-4B2A-B5F7-1C36283167DF}" xr6:coauthVersionLast="47" xr6:coauthVersionMax="47" xr10:uidLastSave="{00000000-0000-0000-0000-000000000000}"/>
  <bookViews>
    <workbookView xWindow="-108" yWindow="-108" windowWidth="23256" windowHeight="13896" activeTab="4" xr2:uid="{3F743CE9-6491-4B0B-927F-108F3284B4CB}"/>
  </bookViews>
  <sheets>
    <sheet name="Main data" sheetId="1" r:id="rId1"/>
    <sheet name="Extraction" sheetId="9" r:id="rId2"/>
    <sheet name="EDA1" sheetId="3" r:id="rId3"/>
    <sheet name="EDA2" sheetId="4" r:id="rId4"/>
    <sheet name="EDA 3" sheetId="5" r:id="rId5"/>
    <sheet name="EDA4" sheetId="6" r:id="rId6"/>
    <sheet name="EDA5" sheetId="7" r:id="rId7"/>
    <sheet name="Communication" sheetId="8" r:id="rId8"/>
  </sheets>
  <definedNames>
    <definedName name="_xlchart.v1.0" hidden="1">'EDA 3'!$I$6:$I$16</definedName>
    <definedName name="_xlchart.v1.1" hidden="1">'EDA 3'!$J$5</definedName>
    <definedName name="_xlchart.v1.2" hidden="1">'EDA 3'!$J$6:$J$16</definedName>
    <definedName name="_xlchart.v1.3" hidden="1">'EDA 3'!$I$6:$I$16</definedName>
    <definedName name="_xlchart.v1.4" hidden="1">'EDA 3'!$J$5</definedName>
    <definedName name="_xlchart.v1.5" hidden="1">'EDA 3'!$J$6:$J$16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30" i="9" l="1"/>
  <c r="BI29" i="9"/>
  <c r="BI28" i="9"/>
  <c r="BI27" i="9"/>
  <c r="BI26" i="9"/>
  <c r="BI25" i="9"/>
  <c r="BI24" i="9"/>
  <c r="BI23" i="9"/>
  <c r="BI22" i="9"/>
  <c r="BI21" i="9"/>
  <c r="BI20" i="9"/>
  <c r="BI19" i="9"/>
  <c r="BI18" i="9"/>
  <c r="BI17" i="9"/>
  <c r="BI16" i="9"/>
  <c r="BI15" i="9"/>
  <c r="BI14" i="9"/>
  <c r="BI13" i="9"/>
  <c r="BI12" i="9"/>
  <c r="BI11" i="9"/>
  <c r="BI10" i="9"/>
  <c r="BI9" i="9"/>
  <c r="BI8" i="9"/>
  <c r="BI7" i="9"/>
  <c r="BI6" i="9"/>
  <c r="BI5" i="9"/>
  <c r="BI4" i="9"/>
  <c r="BI3" i="9"/>
  <c r="G8" i="5" l="1"/>
  <c r="G9" i="5"/>
  <c r="G10" i="5"/>
  <c r="G11" i="5"/>
  <c r="G12" i="5"/>
  <c r="G13" i="5"/>
  <c r="G14" i="5"/>
  <c r="G15" i="5"/>
  <c r="G16" i="5"/>
  <c r="G17" i="5"/>
  <c r="G7" i="5"/>
  <c r="F38" i="5"/>
  <c r="F39" i="5"/>
  <c r="F40" i="5"/>
  <c r="F41" i="5"/>
  <c r="F42" i="5"/>
  <c r="F43" i="5"/>
  <c r="F44" i="5"/>
  <c r="F45" i="5"/>
  <c r="F46" i="5"/>
  <c r="F47" i="5"/>
  <c r="F48" i="5"/>
  <c r="F49" i="5"/>
  <c r="F37" i="5"/>
  <c r="C31" i="7" l="1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F7" i="5"/>
  <c r="F8" i="5"/>
  <c r="F9" i="5"/>
  <c r="F10" i="5"/>
  <c r="F11" i="5"/>
  <c r="F12" i="5"/>
  <c r="F13" i="5"/>
  <c r="F14" i="5"/>
  <c r="F15" i="5"/>
  <c r="F16" i="5"/>
  <c r="F17" i="5"/>
  <c r="F6" i="5"/>
  <c r="N12" i="4"/>
  <c r="O12" i="4"/>
  <c r="P12" i="4"/>
  <c r="Q12" i="4"/>
  <c r="R12" i="4"/>
  <c r="S12" i="4"/>
  <c r="T12" i="4"/>
  <c r="M12" i="4"/>
  <c r="F13" i="4"/>
  <c r="F12" i="4"/>
  <c r="F11" i="4"/>
  <c r="F10" i="4"/>
  <c r="F9" i="4"/>
  <c r="F8" i="4"/>
  <c r="N7" i="3"/>
  <c r="G13" i="3" s="1"/>
  <c r="N8" i="3"/>
  <c r="G14" i="3" s="1"/>
  <c r="N6" i="3"/>
  <c r="H12" i="3" s="1"/>
  <c r="F14" i="3" l="1"/>
  <c r="G12" i="3"/>
  <c r="H14" i="3"/>
  <c r="H13" i="3"/>
  <c r="F13" i="3"/>
  <c r="F12" i="3"/>
  <c r="M14" i="3"/>
  <c r="M13" i="3"/>
  <c r="M12" i="3"/>
  <c r="L14" i="3"/>
  <c r="L13" i="3"/>
  <c r="L12" i="3"/>
  <c r="K14" i="3"/>
  <c r="K13" i="3"/>
  <c r="K12" i="3"/>
  <c r="J14" i="3"/>
  <c r="J13" i="3"/>
  <c r="J12" i="3"/>
  <c r="I14" i="3"/>
  <c r="I13" i="3"/>
  <c r="I12" i="3"/>
</calcChain>
</file>

<file path=xl/sharedStrings.xml><?xml version="1.0" encoding="utf-8"?>
<sst xmlns="http://schemas.openxmlformats.org/spreadsheetml/2006/main" count="1374" uniqueCount="162">
  <si>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</si>
  <si>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</si>
  <si>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</si>
  <si>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</si>
  <si>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</si>
  <si>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</si>
  <si>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</si>
  <si>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</si>
  <si>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</si>
  <si>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</si>
  <si>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</si>
  <si>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</si>
  <si>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</si>
  <si>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</si>
  <si>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</si>
  <si>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</si>
  <si>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</si>
  <si>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</si>
  <si>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</si>
  <si>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</si>
  <si>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</si>
  <si>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</si>
  <si>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</si>
  <si>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</si>
  <si>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</si>
  <si>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</si>
  <si>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</si>
  <si>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</si>
  <si>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</si>
  <si>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</si>
  <si>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</si>
  <si>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</si>
  <si>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</si>
  <si>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</si>
  <si>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</si>
  <si>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</si>
  <si>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</si>
  <si>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</si>
  <si>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</si>
  <si>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</si>
  <si>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</si>
  <si>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</si>
  <si>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</si>
  <si>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</si>
  <si>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</si>
  <si>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</si>
  <si>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</si>
  <si>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Marcrh</t>
  </si>
  <si>
    <t>-</t>
  </si>
  <si>
    <t>House category</t>
  </si>
  <si>
    <t>Health and Education</t>
  </si>
  <si>
    <t xml:space="preserve"> Highest contribution of different broader categories towards the CPI basket</t>
  </si>
  <si>
    <t>Total</t>
  </si>
  <si>
    <t>Food category</t>
  </si>
  <si>
    <t>Clothing category</t>
  </si>
  <si>
    <t>Y-O-Y %</t>
  </si>
  <si>
    <t>Calcuated Y-O-Y increment growth of  Urban+Rural</t>
  </si>
  <si>
    <t>Housing category</t>
  </si>
  <si>
    <t xml:space="preserve">Health and Education </t>
  </si>
  <si>
    <t>Inflation rate</t>
  </si>
  <si>
    <t>Broader categories wise Y-O-Y inflation</t>
  </si>
  <si>
    <t>Reason: Due to 10.99% increment in Food category</t>
  </si>
  <si>
    <t>Food category have highest inflation which is 49.56% in May, 2023</t>
  </si>
  <si>
    <t>Average</t>
  </si>
  <si>
    <t>M-O-M %</t>
  </si>
  <si>
    <t xml:space="preserve">Average of food category </t>
  </si>
  <si>
    <t>2022 July</t>
  </si>
  <si>
    <t>2022 August</t>
  </si>
  <si>
    <t>2022 September</t>
  </si>
  <si>
    <t>2022 October</t>
  </si>
  <si>
    <t>2022 November</t>
  </si>
  <si>
    <t>2022 December</t>
  </si>
  <si>
    <t>2023 January</t>
  </si>
  <si>
    <t>2023 February</t>
  </si>
  <si>
    <t>2023 March</t>
  </si>
  <si>
    <t>2023 April</t>
  </si>
  <si>
    <t>2023 May</t>
  </si>
  <si>
    <t>M-O-M (%) change in food category</t>
  </si>
  <si>
    <t>** Pink color shows highest inflation in year</t>
  </si>
  <si>
    <t>** Green color shows lowest inflation in M-O-M table</t>
  </si>
  <si>
    <t xml:space="preserve"> 3. Broader Food category Inflation Analysis (12 Months Ending May 2023)</t>
  </si>
  <si>
    <t>3.B INFLATION BY INDIVIDUAL CATEGORY(ONLY WITH BROADER FOOD CATEGORY) FROM JUN 22- MAY 23</t>
  </si>
  <si>
    <t>Before Covid-19</t>
  </si>
  <si>
    <t>After Covid-19</t>
  </si>
  <si>
    <t>Broader Categories</t>
  </si>
  <si>
    <t>Categories</t>
  </si>
  <si>
    <t>YoY Inflation</t>
  </si>
  <si>
    <t>Food &amp; Beverages</t>
  </si>
  <si>
    <t>Transport &amp; Comm.</t>
  </si>
  <si>
    <t>Top 5 Categories</t>
  </si>
  <si>
    <t>Inflation Rate</t>
  </si>
  <si>
    <t>Essential Services</t>
  </si>
  <si>
    <t xml:space="preserve">Healthcare (Health): There is a noticeable increase in the CPI for healthcare each year, with a significant jump from 2019 to 2020. This suggests a substantial impact of the pandemic on healthcare costs.
</t>
  </si>
  <si>
    <t>COVID-19 AFFECTED INFLATION RATE IN INDIA</t>
  </si>
  <si>
    <t xml:space="preserve">Food and Beverages: The CPI for food and beverages shows some decrease over these years, and possibly disrupted supply chains of food items during the pandemic.
</t>
  </si>
  <si>
    <t>Strength</t>
  </si>
  <si>
    <t xml:space="preserve">Cereals and products </t>
  </si>
  <si>
    <t xml:space="preserve">Meat and fish </t>
  </si>
  <si>
    <t xml:space="preserve">Egg </t>
  </si>
  <si>
    <t xml:space="preserve">Milk and products </t>
  </si>
  <si>
    <t xml:space="preserve">Oils and fats </t>
  </si>
  <si>
    <t xml:space="preserve">Fruits </t>
  </si>
  <si>
    <t xml:space="preserve">Vegetables </t>
  </si>
  <si>
    <t xml:space="preserve">Pulses and products </t>
  </si>
  <si>
    <t xml:space="preserve">Sugar and Confectionery </t>
  </si>
  <si>
    <t xml:space="preserve">Non-alcoholic beverages </t>
  </si>
  <si>
    <t xml:space="preserve">Prepared meals, snacks, sweets etc. </t>
  </si>
  <si>
    <t xml:space="preserve">Food and beverages </t>
  </si>
  <si>
    <t xml:space="preserve">Pan, tobacco and intoxicants </t>
  </si>
  <si>
    <t xml:space="preserve">Clothing </t>
  </si>
  <si>
    <t xml:space="preserve">Footwear </t>
  </si>
  <si>
    <t xml:space="preserve">Housing </t>
  </si>
  <si>
    <t xml:space="preserve">Household goods and services </t>
  </si>
  <si>
    <t xml:space="preserve">Health </t>
  </si>
  <si>
    <t xml:space="preserve">Transport and communication </t>
  </si>
  <si>
    <t xml:space="preserve">Recreation and amusement </t>
  </si>
  <si>
    <t xml:space="preserve">Education </t>
  </si>
  <si>
    <t xml:space="preserve">Personal care and effects </t>
  </si>
  <si>
    <t xml:space="preserve">Miscellaneous </t>
  </si>
  <si>
    <t xml:space="preserve">General index </t>
  </si>
  <si>
    <t>Correlation with Crude oil</t>
  </si>
  <si>
    <t xml:space="preserve"> M-O-M IMPORTED CRUDE OIL PRICE FLUCTUATIONS INFLATION FOR 2021 -2023</t>
  </si>
  <si>
    <t>Meat and fish, oil and fats showing moderate strength with crude oil</t>
  </si>
  <si>
    <t>* Spices that are more contribution towards CPI in food category which is 16.52 %</t>
  </si>
  <si>
    <t>* On second hand, oil and fats which decreases the inflation -15.38%</t>
  </si>
  <si>
    <t xml:space="preserve">* In May,2023  observed that grew inflation 0.74 % over the year </t>
  </si>
  <si>
    <t>* In dec,2022 fall 0.62% which significantly effect on inflation</t>
  </si>
  <si>
    <t>As graph is depicting highest inflation in year 2019 with 7.18% increment.</t>
  </si>
  <si>
    <t>Essential Services: This sector also experienced a consistent rise in the CPI, indicating increased costs for essential Transport, Communication and Fuel, light items after the pandemic period.</t>
  </si>
  <si>
    <t>YOY INCREASE IN CPI INFLATION  (Rural + Urban) FROM 2017 to 2023 FOR THE ENTIRE BASKET</t>
  </si>
  <si>
    <t xml:space="preserve"> </t>
  </si>
  <si>
    <t>Cereals and products_inflation %</t>
  </si>
  <si>
    <t>Meat and fish_inflation %</t>
  </si>
  <si>
    <t>Egg_inflation %</t>
  </si>
  <si>
    <t>Milk and products_inflation %</t>
  </si>
  <si>
    <t>Oils and fats_inflation %</t>
  </si>
  <si>
    <t>Fruits_inflation %</t>
  </si>
  <si>
    <t>Vegetables_inflation %</t>
  </si>
  <si>
    <t>Pulses and products_inflation %</t>
  </si>
  <si>
    <t>Sugar and Confectionery_inflation %</t>
  </si>
  <si>
    <t>Spices_inflation%</t>
  </si>
  <si>
    <t>Non-alcoholic beverages_inflation %</t>
  </si>
  <si>
    <t>Prepared meals, snacks, sweets etc._inflation %</t>
  </si>
  <si>
    <t>Food and beverages_inflation %</t>
  </si>
  <si>
    <t>Food_Bucket</t>
  </si>
  <si>
    <t>Pan, tobacco and intoxicants_inflation %</t>
  </si>
  <si>
    <t>Clothing_inflation %</t>
  </si>
  <si>
    <t>Footwear_inflation %</t>
  </si>
  <si>
    <t>Clothing and footwear_inflation</t>
  </si>
  <si>
    <t>Clothing_bucket</t>
  </si>
  <si>
    <t>Housing_inflation %</t>
  </si>
  <si>
    <t>Fuel and light_inflation%</t>
  </si>
  <si>
    <t>Household goods and services_inflation %</t>
  </si>
  <si>
    <t>Health_inflation %</t>
  </si>
  <si>
    <t>Transport and communication_inflation %</t>
  </si>
  <si>
    <t>Recreation and amusement_inflation %</t>
  </si>
  <si>
    <t>Education_inflation %</t>
  </si>
  <si>
    <t>Personal care and effects_inflation %</t>
  </si>
  <si>
    <t>Miscellaneous_inflation %</t>
  </si>
  <si>
    <t>General index_inflation %</t>
  </si>
  <si>
    <t>Crude oil</t>
  </si>
  <si>
    <t>Crude oil _inflation%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</si>
</sst>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%"/>
    <numFmt numFmtId="166" formatCode="[$-409]mmm\-yy;@"/>
    <numFmt numFmtId="167" formatCode="0.000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4" tint="-0.499984740745262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sz val="11"/>
      <color theme="9" tint="-0.499984740745262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4"/>
      <color theme="1"/>
      <name val="Aptos"/>
      <family val="2"/>
    </font>
    <font>
      <sz val="20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9D7A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D13F"/>
        <bgColor indexed="64"/>
      </patternFill>
    </fill>
    <fill>
      <patternFill patternType="solid">
        <fgColor rgb="FFD2FDF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EF5FC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0" fillId="5" borderId="0" xfId="0" applyFill="1"/>
    <xf numFmtId="0" fontId="4" fillId="7" borderId="3" xfId="0" applyFont="1" applyFill="1" applyBorder="1"/>
    <xf numFmtId="2" fontId="4" fillId="7" borderId="3" xfId="0" applyNumberFormat="1" applyFont="1" applyFill="1" applyBorder="1"/>
    <xf numFmtId="0" fontId="0" fillId="2" borderId="3" xfId="0" applyFill="1" applyBorder="1"/>
    <xf numFmtId="0" fontId="6" fillId="8" borderId="6" xfId="0" applyFont="1" applyFill="1" applyBorder="1" applyAlignment="1">
      <alignment vertical="center"/>
    </xf>
    <xf numFmtId="0" fontId="6" fillId="8" borderId="5" xfId="0" applyFont="1" applyFill="1" applyBorder="1" applyAlignment="1">
      <alignment vertical="center"/>
    </xf>
    <xf numFmtId="0" fontId="0" fillId="8" borderId="6" xfId="0" applyFill="1" applyBorder="1"/>
    <xf numFmtId="0" fontId="0" fillId="8" borderId="7" xfId="0" applyFill="1" applyBorder="1"/>
    <xf numFmtId="0" fontId="0" fillId="0" borderId="3" xfId="0" applyBorder="1"/>
    <xf numFmtId="0" fontId="3" fillId="0" borderId="3" xfId="0" applyFont="1" applyBorder="1"/>
    <xf numFmtId="10" fontId="0" fillId="0" borderId="3" xfId="1" applyNumberFormat="1" applyFont="1" applyBorder="1"/>
    <xf numFmtId="0" fontId="0" fillId="10" borderId="3" xfId="0" applyFill="1" applyBorder="1"/>
    <xf numFmtId="0" fontId="3" fillId="10" borderId="3" xfId="0" applyFont="1" applyFill="1" applyBorder="1"/>
    <xf numFmtId="10" fontId="0" fillId="11" borderId="3" xfId="1" applyNumberFormat="1" applyFont="1" applyFill="1" applyBorder="1"/>
    <xf numFmtId="10" fontId="2" fillId="11" borderId="3" xfId="1" applyNumberFormat="1" applyFont="1" applyFill="1" applyBorder="1"/>
    <xf numFmtId="0" fontId="3" fillId="10" borderId="3" xfId="0" applyFont="1" applyFill="1" applyBorder="1" applyAlignment="1">
      <alignment horizontal="center" vertical="center"/>
    </xf>
    <xf numFmtId="0" fontId="10" fillId="0" borderId="11" xfId="0" applyFont="1" applyBorder="1"/>
    <xf numFmtId="0" fontId="10" fillId="0" borderId="11" xfId="0" applyFont="1" applyBorder="1" applyAlignment="1">
      <alignment vertical="center"/>
    </xf>
    <xf numFmtId="165" fontId="0" fillId="0" borderId="3" xfId="1" applyNumberFormat="1" applyFont="1" applyBorder="1"/>
    <xf numFmtId="10" fontId="0" fillId="0" borderId="3" xfId="1" applyNumberFormat="1" applyFont="1" applyFill="1" applyBorder="1"/>
    <xf numFmtId="10" fontId="0" fillId="12" borderId="3" xfId="1" applyNumberFormat="1" applyFont="1" applyFill="1" applyBorder="1"/>
    <xf numFmtId="0" fontId="9" fillId="10" borderId="3" xfId="0" applyFont="1" applyFill="1" applyBorder="1"/>
    <xf numFmtId="0" fontId="0" fillId="14" borderId="3" xfId="0" applyFill="1" applyBorder="1"/>
    <xf numFmtId="2" fontId="7" fillId="14" borderId="3" xfId="0" applyNumberFormat="1" applyFont="1" applyFill="1" applyBorder="1"/>
    <xf numFmtId="2" fontId="0" fillId="14" borderId="3" xfId="0" applyNumberFormat="1" applyFill="1" applyBorder="1"/>
    <xf numFmtId="165" fontId="0" fillId="14" borderId="3" xfId="1" applyNumberFormat="1" applyFont="1" applyFill="1" applyBorder="1"/>
    <xf numFmtId="10" fontId="0" fillId="14" borderId="3" xfId="1" applyNumberFormat="1" applyFont="1" applyFill="1" applyBorder="1"/>
    <xf numFmtId="0" fontId="3" fillId="14" borderId="3" xfId="0" applyFont="1" applyFill="1" applyBorder="1"/>
    <xf numFmtId="0" fontId="3" fillId="0" borderId="0" xfId="0" applyFont="1"/>
    <xf numFmtId="14" fontId="3" fillId="10" borderId="3" xfId="0" applyNumberFormat="1" applyFont="1" applyFill="1" applyBorder="1"/>
    <xf numFmtId="166" fontId="3" fillId="10" borderId="3" xfId="0" applyNumberFormat="1" applyFont="1" applyFill="1" applyBorder="1"/>
    <xf numFmtId="0" fontId="0" fillId="10" borderId="3" xfId="0" applyFill="1" applyBorder="1" applyAlignment="1">
      <alignment horizontal="center"/>
    </xf>
    <xf numFmtId="10" fontId="1" fillId="0" borderId="3" xfId="1" applyNumberFormat="1" applyFont="1" applyFill="1" applyBorder="1"/>
    <xf numFmtId="164" fontId="0" fillId="15" borderId="3" xfId="0" applyNumberFormat="1" applyFill="1" applyBorder="1"/>
    <xf numFmtId="0" fontId="0" fillId="15" borderId="3" xfId="0" applyFill="1" applyBorder="1"/>
    <xf numFmtId="164" fontId="0" fillId="2" borderId="3" xfId="0" applyNumberFormat="1" applyFill="1" applyBorder="1"/>
    <xf numFmtId="164" fontId="0" fillId="3" borderId="3" xfId="0" applyNumberFormat="1" applyFill="1" applyBorder="1"/>
    <xf numFmtId="0" fontId="0" fillId="3" borderId="3" xfId="0" applyFill="1" applyBorder="1"/>
    <xf numFmtId="164" fontId="0" fillId="4" borderId="3" xfId="0" applyNumberFormat="1" applyFill="1" applyBorder="1"/>
    <xf numFmtId="0" fontId="0" fillId="4" borderId="3" xfId="0" applyFill="1" applyBorder="1"/>
    <xf numFmtId="9" fontId="0" fillId="0" borderId="0" xfId="1" applyFont="1"/>
    <xf numFmtId="0" fontId="3" fillId="10" borderId="3" xfId="0" applyFont="1" applyFill="1" applyBorder="1" applyAlignment="1">
      <alignment horizontal="center" vertical="center" wrapText="1"/>
    </xf>
    <xf numFmtId="0" fontId="8" fillId="9" borderId="0" xfId="0" applyFont="1" applyFill="1" applyAlignment="1">
      <alignment horizontal="center"/>
    </xf>
    <xf numFmtId="0" fontId="9" fillId="13" borderId="12" xfId="0" applyFont="1" applyFill="1" applyBorder="1" applyAlignment="1">
      <alignment horizontal="center"/>
    </xf>
    <xf numFmtId="0" fontId="9" fillId="13" borderId="13" xfId="0" applyFont="1" applyFill="1" applyBorder="1" applyAlignment="1">
      <alignment horizontal="center"/>
    </xf>
    <xf numFmtId="0" fontId="3" fillId="10" borderId="3" xfId="0" applyFont="1" applyFill="1" applyBorder="1" applyAlignment="1">
      <alignment horizontal="center" vertical="center" textRotation="90"/>
    </xf>
    <xf numFmtId="0" fontId="5" fillId="6" borderId="3" xfId="0" applyFont="1" applyFill="1" applyBorder="1" applyAlignment="1">
      <alignment horizontal="center"/>
    </xf>
    <xf numFmtId="0" fontId="11" fillId="10" borderId="3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left" vertical="center"/>
    </xf>
    <xf numFmtId="0" fontId="12" fillId="10" borderId="0" xfId="0" applyFont="1" applyFill="1" applyAlignment="1">
      <alignment horizontal="left" vertical="center"/>
    </xf>
    <xf numFmtId="0" fontId="3" fillId="10" borderId="3" xfId="0" applyFont="1" applyFill="1" applyBorder="1" applyAlignment="1">
      <alignment horizontal="left"/>
    </xf>
    <xf numFmtId="0" fontId="9" fillId="6" borderId="3" xfId="0" applyFont="1" applyFill="1" applyBorder="1" applyAlignment="1">
      <alignment horizontal="center"/>
    </xf>
    <xf numFmtId="0" fontId="3" fillId="10" borderId="8" xfId="0" applyFont="1" applyFill="1" applyBorder="1" applyAlignment="1">
      <alignment horizontal="center" vertical="center" textRotation="90"/>
    </xf>
    <xf numFmtId="0" fontId="3" fillId="10" borderId="9" xfId="0" applyFont="1" applyFill="1" applyBorder="1" applyAlignment="1">
      <alignment horizontal="center" vertical="center" textRotation="90"/>
    </xf>
    <xf numFmtId="0" fontId="3" fillId="10" borderId="10" xfId="0" applyFont="1" applyFill="1" applyBorder="1" applyAlignment="1">
      <alignment horizontal="center" vertical="center" textRotation="90"/>
    </xf>
    <xf numFmtId="0" fontId="8" fillId="10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 wrapText="1"/>
    </xf>
    <xf numFmtId="0" fontId="13" fillId="10" borderId="1" xfId="0" applyFont="1" applyFill="1" applyBorder="1" applyAlignment="1">
      <alignment horizontal="center"/>
    </xf>
    <xf numFmtId="0" fontId="13" fillId="10" borderId="2" xfId="0" applyFont="1" applyFill="1" applyBorder="1" applyAlignment="1">
      <alignment horizontal="center"/>
    </xf>
    <xf numFmtId="0" fontId="13" fillId="10" borderId="14" xfId="0" applyFont="1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3" fillId="10" borderId="3" xfId="0" applyFont="1" applyFill="1" applyBorder="1" applyAlignment="1">
      <alignment horizontal="center"/>
    </xf>
    <xf numFmtId="0" fontId="3" fillId="10" borderId="8" xfId="0" applyFont="1" applyFill="1" applyBorder="1" applyAlignment="1">
      <alignment horizontal="center" vertical="center" wrapText="1"/>
    </xf>
    <xf numFmtId="0" fontId="3" fillId="10" borderId="9" xfId="0" applyFont="1" applyFill="1" applyBorder="1" applyAlignment="1">
      <alignment horizontal="center" vertical="center" wrapText="1"/>
    </xf>
    <xf numFmtId="0" fontId="3" fillId="10" borderId="10" xfId="0" applyFont="1" applyFill="1" applyBorder="1" applyAlignment="1">
      <alignment horizontal="center" vertical="center" wrapText="1"/>
    </xf>
    <xf numFmtId="0" fontId="3" fillId="10" borderId="8" xfId="0" applyFont="1" applyFill="1" applyBorder="1" applyAlignment="1">
      <alignment horizontal="center" vertical="center" textRotation="90" wrapText="1"/>
    </xf>
    <xf numFmtId="0" fontId="3" fillId="10" borderId="9" xfId="0" applyFont="1" applyFill="1" applyBorder="1" applyAlignment="1">
      <alignment horizontal="center" vertical="center" textRotation="90" wrapText="1"/>
    </xf>
    <xf numFmtId="0" fontId="3" fillId="10" borderId="10" xfId="0" applyFont="1" applyFill="1" applyBorder="1" applyAlignment="1">
      <alignment horizontal="center" vertical="center" textRotation="90" wrapText="1"/>
    </xf>
    <xf numFmtId="0" fontId="5" fillId="10" borderId="3" xfId="0" applyFont="1" applyFill="1" applyBorder="1" applyAlignment="1">
      <alignment horizontal="center"/>
    </xf>
    <xf numFmtId="0" fontId="3" fillId="10" borderId="3" xfId="0" applyFont="1" applyFill="1" applyBorder="1" applyAlignment="1">
      <alignment horizontal="left" vertical="center"/>
    </xf>
    <xf numFmtId="164" fontId="0" fillId="0" borderId="0" xfId="0" applyNumberFormat="1"/>
    <xf numFmtId="2" fontId="3" fillId="0" borderId="0" xfId="0" applyNumberFormat="1" applyFont="1"/>
    <xf numFmtId="167" fontId="0" fillId="0" borderId="0" xfId="0" applyNumberFormat="1"/>
    <xf numFmtId="2" fontId="0" fillId="0" borderId="0" xfId="0" applyNumberFormat="1"/>
  </cellXfs>
  <cellStyles count="2">
    <cellStyle name="Normal" xfId="0" builtinId="0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66"/>
      <color rgb="FFFFD13F"/>
      <color rgb="FFEEF5FC"/>
      <color rgb="FFFB3829"/>
      <color rgb="FFD2FDFE"/>
      <color rgb="FFFAE1BC"/>
      <color rgb="FFF9D7A5"/>
      <color rgb="FFBFE92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Contribution</a:t>
            </a:r>
            <a:r>
              <a:rPr lang="en-US" b="1" baseline="0"/>
              <a:t> of broader categories in inflation</a:t>
            </a:r>
            <a:endParaRPr lang="en-US" b="1"/>
          </a:p>
        </c:rich>
      </c:tx>
      <c:layout>
        <c:manualLayout>
          <c:xMode val="edge"/>
          <c:yMode val="edge"/>
          <c:x val="0.24040158985364957"/>
          <c:y val="1.040141961532759E-2"/>
        </c:manualLayout>
      </c:layout>
      <c:overlay val="0"/>
      <c:spPr>
        <a:solidFill>
          <a:srgbClr val="FFFF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9067036166963908E-2"/>
          <c:y val="0.15889111860349395"/>
          <c:w val="0.84696349848292074"/>
          <c:h val="0.70242969861891169"/>
        </c:manualLayout>
      </c:layout>
      <c:pie3DChart>
        <c:varyColors val="1"/>
        <c:ser>
          <c:idx val="0"/>
          <c:order val="0"/>
          <c:tx>
            <c:strRef>
              <c:f>'EDA1'!$C$14</c:f>
              <c:strCache>
                <c:ptCount val="1"/>
                <c:pt idx="0">
                  <c:v>Rural+Urban</c:v>
                </c:pt>
              </c:strCache>
            </c:strRef>
          </c:tx>
          <c:explosion val="1"/>
          <c:dPt>
            <c:idx val="0"/>
            <c:bubble3D val="0"/>
            <c:spPr>
              <a:solidFill>
                <a:srgbClr val="FFD13F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6-5A32-4153-804C-E0A2E38A1B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844D-41BD-9778-5A027676EC6E}"/>
              </c:ext>
            </c:extLst>
          </c:dPt>
          <c:dPt>
            <c:idx val="2"/>
            <c:bubble3D val="0"/>
            <c:spPr>
              <a:solidFill>
                <a:srgbClr val="BFE927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5A32-4153-804C-E0A2E38A1BD1}"/>
              </c:ext>
            </c:extLst>
          </c:dPt>
          <c:dPt>
            <c:idx val="3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5A32-4153-804C-E0A2E38A1BD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5A32-4153-804C-E0A2E38A1BD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5A32-4153-804C-E0A2E38A1BD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5A32-4153-804C-E0A2E38A1BD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5A32-4153-804C-E0A2E38A1BD1}"/>
              </c:ext>
            </c:extLst>
          </c:dPt>
          <c:dLbls>
            <c:dLbl>
              <c:idx val="0"/>
              <c:layout>
                <c:manualLayout>
                  <c:x val="6.1170849802183146E-2"/>
                  <c:y val="-8.739074436663926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A32-4153-804C-E0A2E38A1BD1}"/>
                </c:ext>
              </c:extLst>
            </c:dLbl>
            <c:dLbl>
              <c:idx val="2"/>
              <c:layout>
                <c:manualLayout>
                  <c:x val="-9.5579452815911181E-2"/>
                  <c:y val="-5.24344466199835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A32-4153-804C-E0A2E38A1BD1}"/>
                </c:ext>
              </c:extLst>
            </c:dLbl>
            <c:dLbl>
              <c:idx val="3"/>
              <c:layout>
                <c:manualLayout>
                  <c:x val="-7.2640384140092509E-2"/>
                  <c:y val="-1.498127046285244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A32-4153-804C-E0A2E38A1BD1}"/>
                </c:ext>
              </c:extLst>
            </c:dLbl>
            <c:dLbl>
              <c:idx val="4"/>
              <c:layout>
                <c:manualLayout>
                  <c:x val="-8.0286740365365372E-2"/>
                  <c:y val="8.489386595616381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A32-4153-804C-E0A2E38A1BD1}"/>
                </c:ext>
              </c:extLst>
            </c:dLbl>
            <c:dLbl>
              <c:idx val="5"/>
              <c:layout>
                <c:manualLayout>
                  <c:x val="-0.13126244853385133"/>
                  <c:y val="3.245941933618025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A32-4153-804C-E0A2E38A1BD1}"/>
                </c:ext>
              </c:extLst>
            </c:dLbl>
            <c:dLbl>
              <c:idx val="6"/>
              <c:layout>
                <c:manualLayout>
                  <c:x val="-3.4408603013728063E-2"/>
                  <c:y val="-5.24344466199835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A32-4153-804C-E0A2E38A1BD1}"/>
                </c:ext>
              </c:extLst>
            </c:dLbl>
            <c:dLbl>
              <c:idx val="7"/>
              <c:layout>
                <c:manualLayout>
                  <c:x val="0.24580548028959168"/>
                  <c:y val="3.514986348126358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A32-4153-804C-E0A2E38A1BD1}"/>
                </c:ext>
              </c:extLst>
            </c:dLbl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'EDA1'!$F$11:$M$11</c:f>
              <c:strCache>
                <c:ptCount val="8"/>
                <c:pt idx="0">
                  <c:v>Food category</c:v>
                </c:pt>
                <c:pt idx="1">
                  <c:v>Pan, tobacco and intoxicants</c:v>
                </c:pt>
                <c:pt idx="2">
                  <c:v>Clothing category</c:v>
                </c:pt>
                <c:pt idx="3">
                  <c:v>House category</c:v>
                </c:pt>
                <c:pt idx="4">
                  <c:v>Health and Education</c:v>
                </c:pt>
                <c:pt idx="5">
                  <c:v>Transport and communication</c:v>
                </c:pt>
                <c:pt idx="6">
                  <c:v>Recreation and amusement</c:v>
                </c:pt>
                <c:pt idx="7">
                  <c:v>Miscellaneous</c:v>
                </c:pt>
              </c:strCache>
            </c:strRef>
          </c:cat>
          <c:val>
            <c:numRef>
              <c:f>'EDA1'!$F$14:$M$14</c:f>
              <c:numCache>
                <c:formatCode>0.00%</c:formatCode>
                <c:ptCount val="8"/>
                <c:pt idx="0">
                  <c:v>0.49563853557923682</c:v>
                </c:pt>
                <c:pt idx="1">
                  <c:v>4.3184943279477479E-2</c:v>
                </c:pt>
                <c:pt idx="2">
                  <c:v>0.11885527672739772</c:v>
                </c:pt>
                <c:pt idx="3">
                  <c:v>0.11464420763148846</c:v>
                </c:pt>
                <c:pt idx="4">
                  <c:v>0.1177380543141973</c:v>
                </c:pt>
                <c:pt idx="5">
                  <c:v>3.5407356479889997E-2</c:v>
                </c:pt>
                <c:pt idx="6">
                  <c:v>3.6782399449982808E-2</c:v>
                </c:pt>
                <c:pt idx="7">
                  <c:v>3.7749226538329315E-2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32-4153-804C-E0A2E38A1BD1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FFFF66"/>
        </a:solidFill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Y-O-Y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'EDA2'!$F$7</c:f>
              <c:strCache>
                <c:ptCount val="1"/>
                <c:pt idx="0">
                  <c:v>Y-O-Y %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1"/>
              <c:layout>
                <c:manualLayout>
                  <c:x val="-5.5368110236220472E-2"/>
                  <c:y val="-0.1689468503937008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7D1-4016-B0B6-D858E6B6C8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tx1"/>
                      </a:solidFill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'EDA2'!$C$8:$C$13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'EDA2'!$F$8:$F$13</c:f>
              <c:numCache>
                <c:formatCode>0.00%</c:formatCode>
                <c:ptCount val="6"/>
                <c:pt idx="0">
                  <c:v>5.0291545189504211E-2</c:v>
                </c:pt>
                <c:pt idx="1">
                  <c:v>2.2840827980014196E-2</c:v>
                </c:pt>
                <c:pt idx="2">
                  <c:v>7.1808510638297948E-2</c:v>
                </c:pt>
                <c:pt idx="3">
                  <c:v>5.4751415984896266E-2</c:v>
                </c:pt>
                <c:pt idx="4">
                  <c:v>5.3549939831528143E-2</c:v>
                </c:pt>
                <c:pt idx="5">
                  <c:v>5.6915196357427436E-2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D1-4016-B0B6-D858E6B6C80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86321503"/>
        <c:axId val="1186320543"/>
      </c:lineChart>
      <c:catAx>
        <c:axId val="1186321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bg2">
                        <a:lumMod val="1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chemeClr val="bg2">
                        <a:lumMod val="10000"/>
                      </a:schemeClr>
                    </a:solidFill>
                  </a:rPr>
                  <a:t>Years</a:t>
                </a:r>
              </a:p>
            </c:rich>
          </c:tx>
          <c:layout>
            <c:manualLayout>
              <c:xMode val="edge"/>
              <c:yMode val="edge"/>
              <c:x val="0.442246719160105"/>
              <c:y val="0.88747255430280514"/>
            </c:manualLayout>
          </c:layout>
          <c:overlay val="0"/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bg2">
                      <a:lumMod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accent2">
                      <a:lumMod val="50000"/>
                    </a:schemeClr>
                  </a:solidFill>
                </a:ln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320543"/>
        <c:crosses val="autoZero"/>
        <c:auto val="1"/>
        <c:lblAlgn val="ctr"/>
        <c:lblOffset val="100"/>
        <c:noMultiLvlLbl val="0"/>
      </c:catAx>
      <c:valAx>
        <c:axId val="118632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400" b="1" i="0" u="none" strike="noStrike" kern="1200" baseline="0">
                    <a:solidFill>
                      <a:schemeClr val="bg2">
                        <a:lumMod val="1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chemeClr val="bg2">
                        <a:lumMod val="10000"/>
                      </a:schemeClr>
                    </a:solidFill>
                    <a:latin typeface="+mn-lt"/>
                    <a:ea typeface="+mn-ea"/>
                    <a:cs typeface="+mn-cs"/>
                  </a:rPr>
                  <a:t>Inflation rate</a:t>
                </a:r>
              </a:p>
            </c:rich>
          </c:tx>
          <c:overlay val="0"/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400" b="1" i="0" u="none" strike="noStrike" kern="1200" baseline="0">
                  <a:solidFill>
                    <a:schemeClr val="bg2">
                      <a:lumMod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321503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rgbClr val="FAE1B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y-o-y</a:t>
            </a:r>
            <a:r>
              <a:rPr lang="en-US" baseline="0"/>
              <a:t> of individual category</a:t>
            </a:r>
            <a:endParaRPr lang="en-US"/>
          </a:p>
        </c:rich>
      </c:tx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gradFill flip="none" rotWithShape="1">
          <a:gsLst>
            <a:gs pos="0">
              <a:schemeClr val="accent2">
                <a:lumMod val="5000"/>
                <a:lumOff val="95000"/>
              </a:schemeClr>
            </a:gs>
            <a:gs pos="74000">
              <a:schemeClr val="accent2">
                <a:lumMod val="45000"/>
                <a:lumOff val="55000"/>
              </a:schemeClr>
            </a:gs>
            <a:gs pos="83000">
              <a:schemeClr val="accent2">
                <a:lumMod val="45000"/>
                <a:lumOff val="55000"/>
              </a:schemeClr>
            </a:gs>
            <a:gs pos="100000">
              <a:schemeClr val="accent2">
                <a:lumMod val="30000"/>
                <a:lumOff val="70000"/>
              </a:schemeClr>
            </a:gs>
          </a:gsLst>
          <a:lin ang="5400000" scaled="1"/>
          <a:tileRect/>
        </a:gradFill>
        <a:ln>
          <a:noFill/>
        </a:ln>
        <a:effectLst/>
        <a:sp3d/>
      </c:spPr>
    </c:sideWall>
    <c:backWall>
      <c:thickness val="0"/>
      <c:spPr>
        <a:gradFill flip="none" rotWithShape="1">
          <a:gsLst>
            <a:gs pos="0">
              <a:schemeClr val="accent2">
                <a:lumMod val="5000"/>
                <a:lumOff val="95000"/>
              </a:schemeClr>
            </a:gs>
            <a:gs pos="74000">
              <a:schemeClr val="accent2">
                <a:lumMod val="45000"/>
                <a:lumOff val="55000"/>
              </a:schemeClr>
            </a:gs>
            <a:gs pos="83000">
              <a:schemeClr val="accent2">
                <a:lumMod val="45000"/>
                <a:lumOff val="55000"/>
              </a:schemeClr>
            </a:gs>
            <a:gs pos="100000">
              <a:schemeClr val="accent2">
                <a:lumMod val="30000"/>
                <a:lumOff val="70000"/>
              </a:schemeClr>
            </a:gs>
          </a:gsLst>
          <a:lin ang="5400000" scaled="1"/>
          <a:tileRect/>
        </a:gradFill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129055402962835"/>
          <c:y val="4.4742331878199183E-2"/>
          <c:w val="0.87870944597037171"/>
          <c:h val="0.88132191689593331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'EDA 3'!$F$36</c:f>
              <c:strCache>
                <c:ptCount val="1"/>
                <c:pt idx="0">
                  <c:v>Y-O-Y %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strRef>
              <c:f>'EDA 3'!$C$37:$C$49</c:f>
              <c:strCache>
                <c:ptCount val="13"/>
                <c:pt idx="0">
                  <c:v>Cereals and products</c:v>
                </c:pt>
                <c:pt idx="1">
                  <c:v>Meat and fish</c:v>
                </c:pt>
                <c:pt idx="2">
                  <c:v>Egg</c:v>
                </c:pt>
                <c:pt idx="3">
                  <c:v>Milk and products</c:v>
                </c:pt>
                <c:pt idx="4">
                  <c:v>Oils and fats</c:v>
                </c:pt>
                <c:pt idx="5">
                  <c:v>Fruits</c:v>
                </c:pt>
                <c:pt idx="6">
                  <c:v>Vegetables</c:v>
                </c:pt>
                <c:pt idx="7">
                  <c:v>Pulses and products</c:v>
                </c:pt>
                <c:pt idx="8">
                  <c:v>Sugar and Confectionery</c:v>
                </c:pt>
                <c:pt idx="9">
                  <c:v>Spices</c:v>
                </c:pt>
                <c:pt idx="10">
                  <c:v>Non-alcoholic beverages</c:v>
                </c:pt>
                <c:pt idx="11">
                  <c:v>Prepared meals, snacks, sweets etc.</c:v>
                </c:pt>
                <c:pt idx="12">
                  <c:v>Food and beverages</c:v>
                </c:pt>
              </c:strCache>
            </c:strRef>
          </c:cat>
          <c:val>
            <c:numRef>
              <c:f>'EDA 3'!$F$37:$F$49</c:f>
              <c:numCache>
                <c:formatCode>0.00%</c:formatCode>
                <c:ptCount val="13"/>
                <c:pt idx="0">
                  <c:v>0.1206451612903225</c:v>
                </c:pt>
                <c:pt idx="1">
                  <c:v>-2.3245214220601614E-2</c:v>
                </c:pt>
                <c:pt idx="2">
                  <c:v>1.4051522248243426E-2</c:v>
                </c:pt>
                <c:pt idx="3">
                  <c:v>8.2629674306393175E-2</c:v>
                </c:pt>
                <c:pt idx="4">
                  <c:v>-0.15380786460925835</c:v>
                </c:pt>
                <c:pt idx="5">
                  <c:v>1.4731879787860933E-2</c:v>
                </c:pt>
                <c:pt idx="6">
                  <c:v>-0.11684037301151953</c:v>
                </c:pt>
                <c:pt idx="7">
                  <c:v>6.8776628119293873E-2</c:v>
                </c:pt>
                <c:pt idx="8">
                  <c:v>2.3352793994995805E-2</c:v>
                </c:pt>
                <c:pt idx="9">
                  <c:v>0.16515232495991453</c:v>
                </c:pt>
                <c:pt idx="10">
                  <c:v>3.2757593805836809E-2</c:v>
                </c:pt>
                <c:pt idx="11">
                  <c:v>5.6008700380641561E-2</c:v>
                </c:pt>
                <c:pt idx="12">
                  <c:v>2.4013722126929607E-2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09-408D-8BA0-114E4795C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84672799"/>
        <c:axId val="1284680959"/>
        <c:axId val="0"/>
      </c:bar3DChart>
      <c:catAx>
        <c:axId val="128467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12700" cmpd="dbl">
                  <a:solidFill>
                    <a:schemeClr val="tx1">
                      <a:lumMod val="95000"/>
                      <a:lumOff val="5000"/>
                      <a:alpha val="61000"/>
                    </a:schemeClr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4200000" algn="ctr" rotWithShape="0">
                    <a:schemeClr val="tx1">
                      <a:lumMod val="50000"/>
                      <a:lumOff val="5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680959"/>
        <c:crosses val="autoZero"/>
        <c:auto val="1"/>
        <c:lblAlgn val="ctr"/>
        <c:lblOffset val="100"/>
        <c:noMultiLvlLbl val="0"/>
      </c:catAx>
      <c:valAx>
        <c:axId val="1284680959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gradFill>
            <a:gsLst>
              <a:gs pos="0">
                <a:schemeClr val="accent2">
                  <a:lumMod val="5000"/>
                  <a:lumOff val="95000"/>
                </a:schemeClr>
              </a:gs>
              <a:gs pos="74000">
                <a:schemeClr val="accent2">
                  <a:lumMod val="45000"/>
                  <a:lumOff val="55000"/>
                </a:schemeClr>
              </a:gs>
              <a:gs pos="83000">
                <a:schemeClr val="accent2">
                  <a:lumMod val="45000"/>
                  <a:lumOff val="55000"/>
                </a:schemeClr>
              </a:gs>
              <a:gs pos="100000">
                <a:schemeClr val="accent2">
                  <a:lumMod val="30000"/>
                  <a:lumOff val="70000"/>
                </a:schemeClr>
              </a:gs>
            </a:gsLst>
            <a:lin ang="5400000" scaled="1"/>
          </a:gradFill>
          <a:ln>
            <a:solidFill>
              <a:schemeClr val="tx1">
                <a:lumMod val="95000"/>
                <a:lumOff val="5000"/>
                <a:alpha val="77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672799"/>
        <c:crosses val="autoZero"/>
        <c:crossBetween val="between"/>
      </c:valAx>
      <c:spPr>
        <a:gradFill>
          <a:gsLst>
            <a:gs pos="0">
              <a:schemeClr val="accent2">
                <a:lumMod val="5000"/>
                <a:lumOff val="95000"/>
              </a:schemeClr>
            </a:gs>
            <a:gs pos="74000">
              <a:schemeClr val="accent2">
                <a:lumMod val="45000"/>
                <a:lumOff val="55000"/>
              </a:schemeClr>
            </a:gs>
            <a:gs pos="83000">
              <a:schemeClr val="accent2">
                <a:lumMod val="45000"/>
                <a:lumOff val="55000"/>
              </a:schemeClr>
            </a:gs>
            <a:gs pos="100000">
              <a:schemeClr val="accent2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5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bg2">
                    <a:lumMod val="10000"/>
                  </a:schemeClr>
                </a:solidFill>
              </a:rPr>
              <a:t>Y-o-y</a:t>
            </a:r>
            <a:r>
              <a:rPr lang="en-US" sz="1600" b="1" baseline="0">
                <a:solidFill>
                  <a:schemeClr val="bg2">
                    <a:lumMod val="10000"/>
                  </a:schemeClr>
                </a:solidFill>
              </a:rPr>
              <a:t> Inflation before covid-19</a:t>
            </a:r>
            <a:endParaRPr lang="en-US" sz="1600" b="1">
              <a:solidFill>
                <a:schemeClr val="bg2">
                  <a:lumMod val="10000"/>
                </a:schemeClr>
              </a:solidFill>
            </a:endParaRPr>
          </a:p>
        </c:rich>
      </c:tx>
      <c:overlay val="0"/>
      <c:spPr>
        <a:solidFill>
          <a:srgbClr val="FFD13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50" baseline="0">
              <a:solidFill>
                <a:schemeClr val="bg2">
                  <a:lumMod val="1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0"/>
      <c:rotY val="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gradFill>
          <a:gsLst>
            <a:gs pos="0">
              <a:schemeClr val="accent2">
                <a:lumMod val="5000"/>
                <a:lumOff val="95000"/>
              </a:schemeClr>
            </a:gs>
            <a:gs pos="74000">
              <a:schemeClr val="accent2">
                <a:lumMod val="45000"/>
                <a:lumOff val="55000"/>
              </a:schemeClr>
            </a:gs>
            <a:gs pos="83000">
              <a:schemeClr val="accent2">
                <a:lumMod val="45000"/>
                <a:lumOff val="55000"/>
              </a:schemeClr>
            </a:gs>
            <a:gs pos="100000">
              <a:schemeClr val="accent2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  <a:sp3d/>
      </c:spPr>
    </c:sideWall>
    <c:backWall>
      <c:thickness val="0"/>
      <c:spPr>
        <a:gradFill>
          <a:gsLst>
            <a:gs pos="0">
              <a:schemeClr val="accent2">
                <a:lumMod val="5000"/>
                <a:lumOff val="95000"/>
              </a:schemeClr>
            </a:gs>
            <a:gs pos="74000">
              <a:schemeClr val="accent2">
                <a:lumMod val="45000"/>
                <a:lumOff val="55000"/>
              </a:schemeClr>
            </a:gs>
            <a:gs pos="83000">
              <a:schemeClr val="accent2">
                <a:lumMod val="45000"/>
                <a:lumOff val="55000"/>
              </a:schemeClr>
            </a:gs>
            <a:gs pos="100000">
              <a:schemeClr val="accent2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'EDA4'!$D$28</c:f>
              <c:strCache>
                <c:ptCount val="1"/>
                <c:pt idx="0">
                  <c:v>Vegetables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'EDA4'!$E$27</c:f>
              <c:strCache>
                <c:ptCount val="1"/>
                <c:pt idx="0">
                  <c:v>YoY Inflation</c:v>
                </c:pt>
              </c:strCache>
            </c:strRef>
          </c:cat>
          <c:val>
            <c:numRef>
              <c:f>'EDA4'!$E$28</c:f>
              <c:numCache>
                <c:formatCode>0.00%</c:formatCode>
                <c:ptCount val="1"/>
                <c:pt idx="0">
                  <c:v>0.28733031674208143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30-4FCB-BE10-7491F2D40278}"/>
            </c:ext>
          </c:extLst>
        </c:ser>
        <c:ser>
          <c:idx val="1"/>
          <c:order val="1"/>
          <c:tx>
            <c:strRef>
              <c:f>'EDA4'!$D$29</c:f>
              <c:strCache>
                <c:ptCount val="1"/>
                <c:pt idx="0">
                  <c:v>Pulses and products</c:v>
                </c:pt>
              </c:strCache>
            </c:strRef>
          </c:tx>
          <c:spPr>
            <a:pattFill prst="ltDnDiag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solidFill>
                <a:schemeClr val="accent2"/>
              </a:solidFill>
            </a:ln>
            <a:effectLst/>
            <a:sp3d>
              <a:contourClr>
                <a:schemeClr val="accent2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'EDA4'!$E$27</c:f>
              <c:strCache>
                <c:ptCount val="1"/>
                <c:pt idx="0">
                  <c:v>YoY Inflation</c:v>
                </c:pt>
              </c:strCache>
            </c:strRef>
          </c:cat>
          <c:val>
            <c:numRef>
              <c:f>'EDA4'!$E$29</c:f>
              <c:numCache>
                <c:formatCode>0.00%</c:formatCode>
                <c:ptCount val="1"/>
                <c:pt idx="0">
                  <c:v>0.15845648604269291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30-4FCB-BE10-7491F2D40278}"/>
            </c:ext>
          </c:extLst>
        </c:ser>
        <c:ser>
          <c:idx val="2"/>
          <c:order val="2"/>
          <c:tx>
            <c:strRef>
              <c:f>'EDA4'!$D$30</c:f>
              <c:strCache>
                <c:ptCount val="1"/>
                <c:pt idx="0">
                  <c:v>Meat and fish</c:v>
                </c:pt>
              </c:strCache>
            </c:strRef>
          </c:tx>
          <c:spPr>
            <a:pattFill prst="ltDnDiag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solidFill>
                <a:schemeClr val="accent3"/>
              </a:solidFill>
            </a:ln>
            <a:effectLst/>
            <a:sp3d>
              <a:contourClr>
                <a:schemeClr val="accent3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'EDA4'!$E$27</c:f>
              <c:strCache>
                <c:ptCount val="1"/>
                <c:pt idx="0">
                  <c:v>YoY Inflation</c:v>
                </c:pt>
              </c:strCache>
            </c:strRef>
          </c:cat>
          <c:val>
            <c:numRef>
              <c:f>'EDA4'!$E$30</c:f>
              <c:numCache>
                <c:formatCode>0.00%</c:formatCode>
                <c:ptCount val="1"/>
                <c:pt idx="0">
                  <c:v>9.4771241830065356E-2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30-4FCB-BE10-7491F2D40278}"/>
            </c:ext>
          </c:extLst>
        </c:ser>
        <c:ser>
          <c:idx val="3"/>
          <c:order val="3"/>
          <c:tx>
            <c:strRef>
              <c:f>'EDA4'!$D$31</c:f>
              <c:strCache>
                <c:ptCount val="1"/>
                <c:pt idx="0">
                  <c:v>Spices</c:v>
                </c:pt>
              </c:strCache>
            </c:strRef>
          </c:tx>
          <c:spPr>
            <a:pattFill prst="ltDnDiag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solidFill>
                <a:schemeClr val="accent4"/>
              </a:solidFill>
            </a:ln>
            <a:effectLst/>
            <a:sp3d>
              <a:contourClr>
                <a:schemeClr val="accent4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'EDA4'!$E$27</c:f>
              <c:strCache>
                <c:ptCount val="1"/>
                <c:pt idx="0">
                  <c:v>YoY Inflation</c:v>
                </c:pt>
              </c:strCache>
            </c:strRef>
          </c:cat>
          <c:val>
            <c:numRef>
              <c:f>'EDA4'!$E$31</c:f>
              <c:numCache>
                <c:formatCode>0.00%</c:formatCode>
                <c:ptCount val="1"/>
                <c:pt idx="0">
                  <c:v>8.9605734767025089E-2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30-4FCB-BE10-7491F2D40278}"/>
            </c:ext>
          </c:extLst>
        </c:ser>
        <c:ser>
          <c:idx val="4"/>
          <c:order val="4"/>
          <c:tx>
            <c:strRef>
              <c:f>'EDA4'!$D$32</c:f>
              <c:strCache>
                <c:ptCount val="1"/>
                <c:pt idx="0">
                  <c:v>Egg</c:v>
                </c:pt>
              </c:strCache>
            </c:strRef>
          </c:tx>
          <c:spPr>
            <a:pattFill prst="ltDnDiag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solidFill>
                <a:schemeClr val="accent5"/>
              </a:solidFill>
            </a:ln>
            <a:effectLst/>
            <a:sp3d>
              <a:contourClr>
                <a:schemeClr val="accent5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'EDA4'!$E$27</c:f>
              <c:strCache>
                <c:ptCount val="1"/>
                <c:pt idx="0">
                  <c:v>YoY Inflation</c:v>
                </c:pt>
              </c:strCache>
            </c:strRef>
          </c:cat>
          <c:val>
            <c:numRef>
              <c:f>'EDA4'!$E$32</c:f>
              <c:numCache>
                <c:formatCode>0.00%</c:formatCode>
                <c:ptCount val="1"/>
                <c:pt idx="0">
                  <c:v>8.1967213114754092E-2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530-4FCB-BE10-7491F2D4027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0"/>
        <c:gapDepth val="0"/>
        <c:shape val="box"/>
        <c:axId val="1192592655"/>
        <c:axId val="1192590255"/>
        <c:axId val="0"/>
      </c:bar3DChart>
      <c:catAx>
        <c:axId val="11925926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92590255"/>
        <c:crosses val="autoZero"/>
        <c:auto val="1"/>
        <c:lblAlgn val="ctr"/>
        <c:lblOffset val="100"/>
        <c:noMultiLvlLbl val="0"/>
      </c:catAx>
      <c:valAx>
        <c:axId val="1192590255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spPr>
          <a:solidFill>
            <a:schemeClr val="bg2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592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2">
            <a:lumMod val="5000"/>
            <a:lumOff val="95000"/>
          </a:schemeClr>
        </a:gs>
        <a:gs pos="74000">
          <a:schemeClr val="accent2">
            <a:lumMod val="45000"/>
            <a:lumOff val="55000"/>
          </a:schemeClr>
        </a:gs>
        <a:gs pos="83000">
          <a:schemeClr val="accent2">
            <a:lumMod val="45000"/>
            <a:lumOff val="55000"/>
          </a:schemeClr>
        </a:gs>
        <a:gs pos="100000">
          <a:schemeClr val="accent2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15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chemeClr val="bg2">
                    <a:lumMod val="10000"/>
                  </a:schemeClr>
                </a:solidFill>
              </a:rPr>
              <a:t>y-o-y inflation after covid-19</a:t>
            </a:r>
          </a:p>
        </c:rich>
      </c:tx>
      <c:overlay val="0"/>
      <c:spPr>
        <a:solidFill>
          <a:srgbClr val="FFD13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150" baseline="0">
              <a:solidFill>
                <a:schemeClr val="bg2">
                  <a:lumMod val="1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0"/>
      <c:rotY val="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gradFill>
          <a:gsLst>
            <a:gs pos="0">
              <a:schemeClr val="accent2">
                <a:lumMod val="5000"/>
                <a:lumOff val="95000"/>
              </a:schemeClr>
            </a:gs>
            <a:gs pos="74000">
              <a:schemeClr val="accent2">
                <a:lumMod val="45000"/>
                <a:lumOff val="55000"/>
              </a:schemeClr>
            </a:gs>
            <a:gs pos="83000">
              <a:schemeClr val="accent2">
                <a:lumMod val="45000"/>
                <a:lumOff val="55000"/>
              </a:schemeClr>
            </a:gs>
            <a:gs pos="100000">
              <a:schemeClr val="accent2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  <a:sp3d/>
      </c:spPr>
    </c:sideWall>
    <c:backWall>
      <c:thickness val="0"/>
      <c:spPr>
        <a:gradFill>
          <a:gsLst>
            <a:gs pos="0">
              <a:schemeClr val="accent2">
                <a:lumMod val="5000"/>
                <a:lumOff val="95000"/>
              </a:schemeClr>
            </a:gs>
            <a:gs pos="74000">
              <a:schemeClr val="accent2">
                <a:lumMod val="45000"/>
                <a:lumOff val="55000"/>
              </a:schemeClr>
            </a:gs>
            <a:gs pos="83000">
              <a:schemeClr val="accent2">
                <a:lumMod val="45000"/>
                <a:lumOff val="55000"/>
              </a:schemeClr>
            </a:gs>
            <a:gs pos="100000">
              <a:schemeClr val="accent2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'EDA4'!$K$28</c:f>
              <c:strCache>
                <c:ptCount val="1"/>
                <c:pt idx="0">
                  <c:v>Oils and fats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'EDA4'!$L$27</c:f>
              <c:strCache>
                <c:ptCount val="1"/>
                <c:pt idx="0">
                  <c:v>YoY Inflation</c:v>
                </c:pt>
              </c:strCache>
            </c:strRef>
          </c:cat>
          <c:val>
            <c:numRef>
              <c:f>'EDA4'!$L$28</c:f>
              <c:numCache>
                <c:formatCode>0.00%</c:formatCode>
                <c:ptCount val="1"/>
                <c:pt idx="0">
                  <c:v>0.20960365853658539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9-4AE4-A91F-6C9AB197C678}"/>
            </c:ext>
          </c:extLst>
        </c:ser>
        <c:ser>
          <c:idx val="1"/>
          <c:order val="1"/>
          <c:tx>
            <c:strRef>
              <c:f>'EDA4'!$K$29</c:f>
              <c:strCache>
                <c:ptCount val="1"/>
                <c:pt idx="0">
                  <c:v>Egg</c:v>
                </c:pt>
              </c:strCache>
            </c:strRef>
          </c:tx>
          <c:spPr>
            <a:pattFill prst="ltDnDiag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solidFill>
                <a:schemeClr val="accent2"/>
              </a:solidFill>
            </a:ln>
            <a:effectLst/>
            <a:sp3d>
              <a:contourClr>
                <a:schemeClr val="accent2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'EDA4'!$L$27</c:f>
              <c:strCache>
                <c:ptCount val="1"/>
                <c:pt idx="0">
                  <c:v>YoY Inflation</c:v>
                </c:pt>
              </c:strCache>
            </c:strRef>
          </c:cat>
          <c:val>
            <c:numRef>
              <c:f>'EDA4'!$L$29</c:f>
              <c:numCache>
                <c:formatCode>0.00%</c:formatCode>
                <c:ptCount val="1"/>
                <c:pt idx="0">
                  <c:v>0.13909520594193109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89-4AE4-A91F-6C9AB197C678}"/>
            </c:ext>
          </c:extLst>
        </c:ser>
        <c:ser>
          <c:idx val="2"/>
          <c:order val="2"/>
          <c:tx>
            <c:strRef>
              <c:f>'EDA4'!$K$30</c:f>
              <c:strCache>
                <c:ptCount val="1"/>
                <c:pt idx="0">
                  <c:v>Non-alcoholic beverages</c:v>
                </c:pt>
              </c:strCache>
            </c:strRef>
          </c:tx>
          <c:spPr>
            <a:pattFill prst="ltDnDiag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solidFill>
                <a:schemeClr val="accent3"/>
              </a:solidFill>
            </a:ln>
            <a:effectLst/>
            <a:sp3d>
              <a:contourClr>
                <a:schemeClr val="accent3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'EDA4'!$L$27</c:f>
              <c:strCache>
                <c:ptCount val="1"/>
                <c:pt idx="0">
                  <c:v>YoY Inflation</c:v>
                </c:pt>
              </c:strCache>
            </c:strRef>
          </c:cat>
          <c:val>
            <c:numRef>
              <c:f>'EDA4'!$L$30</c:f>
              <c:numCache>
                <c:formatCode>0.00%</c:formatCode>
                <c:ptCount val="1"/>
                <c:pt idx="0">
                  <c:v>0.13752743233357728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89-4AE4-A91F-6C9AB197C678}"/>
            </c:ext>
          </c:extLst>
        </c:ser>
        <c:ser>
          <c:idx val="3"/>
          <c:order val="3"/>
          <c:tx>
            <c:strRef>
              <c:f>'EDA4'!$K$31</c:f>
              <c:strCache>
                <c:ptCount val="1"/>
                <c:pt idx="0">
                  <c:v>Pulses and products</c:v>
                </c:pt>
              </c:strCache>
            </c:strRef>
          </c:tx>
          <c:spPr>
            <a:pattFill prst="ltDnDiag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solidFill>
                <a:schemeClr val="accent4"/>
              </a:solidFill>
            </a:ln>
            <a:effectLst/>
            <a:sp3d>
              <a:contourClr>
                <a:schemeClr val="accent4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'EDA4'!$L$27</c:f>
              <c:strCache>
                <c:ptCount val="1"/>
                <c:pt idx="0">
                  <c:v>YoY Inflation</c:v>
                </c:pt>
              </c:strCache>
            </c:strRef>
          </c:cat>
          <c:val>
            <c:numRef>
              <c:f>'EDA4'!$L$31</c:f>
              <c:numCache>
                <c:formatCode>0.00%</c:formatCode>
                <c:ptCount val="1"/>
                <c:pt idx="0">
                  <c:v>0.12544294826364294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89-4AE4-A91F-6C9AB197C678}"/>
            </c:ext>
          </c:extLst>
        </c:ser>
        <c:ser>
          <c:idx val="4"/>
          <c:order val="4"/>
          <c:tx>
            <c:strRef>
              <c:f>'EDA4'!$K$32</c:f>
              <c:strCache>
                <c:ptCount val="1"/>
                <c:pt idx="0">
                  <c:v>Transport and communication</c:v>
                </c:pt>
              </c:strCache>
            </c:strRef>
          </c:tx>
          <c:spPr>
            <a:pattFill prst="ltDnDiag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solidFill>
                <a:schemeClr val="accent5"/>
              </a:solidFill>
            </a:ln>
            <a:effectLst/>
            <a:sp3d>
              <a:contourClr>
                <a:schemeClr val="accent5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'EDA4'!$L$27</c:f>
              <c:strCache>
                <c:ptCount val="1"/>
                <c:pt idx="0">
                  <c:v>YoY Inflation</c:v>
                </c:pt>
              </c:strCache>
            </c:strRef>
          </c:cat>
          <c:val>
            <c:numRef>
              <c:f>'EDA4'!$L$32</c:f>
              <c:numCache>
                <c:formatCode>0.00%</c:formatCode>
                <c:ptCount val="1"/>
                <c:pt idx="0">
                  <c:v>0.11701308698999222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89-4AE4-A91F-6C9AB197C67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0"/>
        <c:gapDepth val="0"/>
        <c:shape val="box"/>
        <c:axId val="917477823"/>
        <c:axId val="917477343"/>
        <c:axId val="0"/>
      </c:bar3DChart>
      <c:catAx>
        <c:axId val="9174778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17477343"/>
        <c:crosses val="autoZero"/>
        <c:auto val="1"/>
        <c:lblAlgn val="ctr"/>
        <c:lblOffset val="100"/>
        <c:noMultiLvlLbl val="0"/>
      </c:catAx>
      <c:valAx>
        <c:axId val="917477343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spPr>
          <a:solidFill>
            <a:schemeClr val="bg2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47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2">
            <a:lumMod val="5000"/>
            <a:lumOff val="95000"/>
          </a:schemeClr>
        </a:gs>
        <a:gs pos="74000">
          <a:schemeClr val="accent2">
            <a:lumMod val="45000"/>
            <a:lumOff val="55000"/>
          </a:schemeClr>
        </a:gs>
        <a:gs pos="83000">
          <a:schemeClr val="accent2">
            <a:lumMod val="45000"/>
            <a:lumOff val="55000"/>
          </a:schemeClr>
        </a:gs>
        <a:gs pos="100000">
          <a:schemeClr val="accent2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bg2">
                    <a:lumMod val="10000"/>
                  </a:schemeClr>
                </a:solidFill>
              </a:rPr>
              <a:t>Based</a:t>
            </a:r>
            <a:r>
              <a:rPr lang="en-US" sz="1400" b="1" baseline="0">
                <a:solidFill>
                  <a:schemeClr val="bg2">
                    <a:lumMod val="10000"/>
                  </a:schemeClr>
                </a:solidFill>
              </a:rPr>
              <a:t> on major category before covid 19</a:t>
            </a:r>
            <a:endParaRPr lang="en-US" sz="1400" b="1">
              <a:solidFill>
                <a:schemeClr val="bg2">
                  <a:lumMod val="10000"/>
                </a:schemeClr>
              </a:solidFill>
            </a:endParaRPr>
          </a:p>
        </c:rich>
      </c:tx>
      <c:overlay val="0"/>
      <c:spPr>
        <a:solidFill>
          <a:srgbClr val="FFD13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bg2">
                  <a:lumMod val="1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'EDA4'!$D$52</c:f>
              <c:strCache>
                <c:ptCount val="1"/>
                <c:pt idx="0">
                  <c:v>Inflation Rate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1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'EDA4'!$C$53:$C$55</c:f>
              <c:strCache>
                <c:ptCount val="3"/>
                <c:pt idx="0">
                  <c:v>Food &amp; Beverages</c:v>
                </c:pt>
                <c:pt idx="1">
                  <c:v>Health</c:v>
                </c:pt>
                <c:pt idx="2">
                  <c:v>Essential Services</c:v>
                </c:pt>
              </c:strCache>
            </c:strRef>
          </c:cat>
          <c:val>
            <c:numRef>
              <c:f>'EDA4'!$D$53:$D$55</c:f>
              <c:numCache>
                <c:formatCode>0.00%</c:formatCode>
                <c:ptCount val="3"/>
                <c:pt idx="0">
                  <c:v>0.41085366576384846</c:v>
                </c:pt>
                <c:pt idx="1">
                  <c:v>3.7999999999999999E-2</c:v>
                </c:pt>
                <c:pt idx="2">
                  <c:v>9.9432859452323455E-2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93-44B5-BDBC-2A189007C9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26"/>
        <c:overlap val="-58"/>
        <c:axId val="1192596495"/>
        <c:axId val="1192598415"/>
      </c:barChart>
      <c:catAx>
        <c:axId val="1192596495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598415"/>
        <c:crosses val="autoZero"/>
        <c:auto val="1"/>
        <c:lblAlgn val="ctr"/>
        <c:lblOffset val="100"/>
        <c:noMultiLvlLbl val="0"/>
      </c:catAx>
      <c:valAx>
        <c:axId val="119259841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596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>
      <a:gsLst>
        <a:gs pos="27528">
          <a:srgbClr val="C2E5F6"/>
        </a:gs>
        <a:gs pos="55500">
          <a:srgbClr val="FFFF66"/>
        </a:gs>
        <a:gs pos="73402">
          <a:schemeClr val="accent2">
            <a:lumMod val="40000"/>
            <a:lumOff val="60000"/>
          </a:schemeClr>
        </a:gs>
        <a:gs pos="100000">
          <a:schemeClr val="accent2">
            <a:lumMod val="40000"/>
            <a:lumOff val="60000"/>
          </a:schemeClr>
        </a:gs>
        <a:gs pos="0">
          <a:schemeClr val="accent1">
            <a:lumMod val="5000"/>
            <a:lumOff val="95000"/>
          </a:schemeClr>
        </a:gs>
        <a:gs pos="33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bg2">
                    <a:lumMod val="10000"/>
                  </a:schemeClr>
                </a:solidFill>
              </a:rPr>
              <a:t>Based</a:t>
            </a:r>
            <a:r>
              <a:rPr lang="en-US" sz="1400" b="1" baseline="0">
                <a:solidFill>
                  <a:schemeClr val="bg2">
                    <a:lumMod val="10000"/>
                  </a:schemeClr>
                </a:solidFill>
              </a:rPr>
              <a:t> on major category after covid 19</a:t>
            </a:r>
            <a:endParaRPr lang="en-US" sz="1400" b="1">
              <a:solidFill>
                <a:schemeClr val="bg2">
                  <a:lumMod val="10000"/>
                </a:schemeClr>
              </a:solidFill>
            </a:endParaRPr>
          </a:p>
        </c:rich>
      </c:tx>
      <c:overlay val="0"/>
      <c:spPr>
        <a:solidFill>
          <a:srgbClr val="FFD13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bg2">
                  <a:lumMod val="1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'EDA4'!$J$52:$J$54</c:f>
              <c:strCache>
                <c:ptCount val="3"/>
                <c:pt idx="0">
                  <c:v>Food &amp; Beverages</c:v>
                </c:pt>
                <c:pt idx="1">
                  <c:v>Health</c:v>
                </c:pt>
                <c:pt idx="2">
                  <c:v>Essential Services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'EDA4'!$C$53:$C$55</c:f>
              <c:strCache>
                <c:ptCount val="3"/>
                <c:pt idx="0">
                  <c:v>Food &amp; Beverages</c:v>
                </c:pt>
                <c:pt idx="1">
                  <c:v>Health</c:v>
                </c:pt>
                <c:pt idx="2">
                  <c:v>Essential Services</c:v>
                </c:pt>
              </c:strCache>
            </c:strRef>
          </c:cat>
          <c:val>
            <c:numRef>
              <c:f>'EDA4'!$K$52:$K$54</c:f>
              <c:numCache>
                <c:formatCode>0.00%</c:formatCode>
                <c:ptCount val="3"/>
                <c:pt idx="0">
                  <c:v>0.40503609746279745</c:v>
                </c:pt>
                <c:pt idx="1">
                  <c:v>5.8999999999999997E-2</c:v>
                </c:pt>
                <c:pt idx="2">
                  <c:v>0.19961268915019792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61-4824-999D-EC8787B4FE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26"/>
        <c:overlap val="-58"/>
        <c:axId val="1192596495"/>
        <c:axId val="1192598415"/>
      </c:barChart>
      <c:catAx>
        <c:axId val="1192596495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598415"/>
        <c:crosses val="autoZero"/>
        <c:auto val="1"/>
        <c:lblAlgn val="ctr"/>
        <c:lblOffset val="100"/>
        <c:noMultiLvlLbl val="0"/>
      </c:catAx>
      <c:valAx>
        <c:axId val="119259841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596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>
      <a:gsLst>
        <a:gs pos="27528">
          <a:srgbClr val="C2E5F6"/>
        </a:gs>
        <a:gs pos="55500">
          <a:srgbClr val="FFFF66"/>
        </a:gs>
        <a:gs pos="73402">
          <a:schemeClr val="accent2">
            <a:lumMod val="40000"/>
            <a:lumOff val="60000"/>
          </a:schemeClr>
        </a:gs>
        <a:gs pos="100000">
          <a:schemeClr val="accent2">
            <a:lumMod val="40000"/>
            <a:lumOff val="60000"/>
          </a:schemeClr>
        </a:gs>
        <a:gs pos="0">
          <a:schemeClr val="accent1">
            <a:lumMod val="5000"/>
            <a:lumOff val="95000"/>
          </a:schemeClr>
        </a:gs>
        <a:gs pos="33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'EDA5'!$B$4</c:f>
              <c:strCache>
                <c:ptCount val="1"/>
                <c:pt idx="0">
                  <c:v>Correlation with Crude oil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'EDA5'!$A$5:$A$31</c:f>
              <c:strCache>
                <c:ptCount val="27"/>
                <c:pt idx="0">
                  <c:v>Cereals and products </c:v>
                </c:pt>
                <c:pt idx="1">
                  <c:v>Meat and fish </c:v>
                </c:pt>
                <c:pt idx="2">
                  <c:v>Egg </c:v>
                </c:pt>
                <c:pt idx="3">
                  <c:v>Milk and products </c:v>
                </c:pt>
                <c:pt idx="4">
                  <c:v>Oils and fats </c:v>
                </c:pt>
                <c:pt idx="5">
                  <c:v>Fruits </c:v>
                </c:pt>
                <c:pt idx="6">
                  <c:v>Vegetables </c:v>
                </c:pt>
                <c:pt idx="7">
                  <c:v>Pulses and products </c:v>
                </c:pt>
                <c:pt idx="8">
                  <c:v>Sugar and Confectionery </c:v>
                </c:pt>
                <c:pt idx="9">
                  <c:v>Spices</c:v>
                </c:pt>
                <c:pt idx="10">
                  <c:v>Non-alcoholic beverages </c:v>
                </c:pt>
                <c:pt idx="11">
                  <c:v>Prepared meals, snacks, sweets etc. </c:v>
                </c:pt>
                <c:pt idx="12">
                  <c:v>Food and beverages </c:v>
                </c:pt>
                <c:pt idx="13">
                  <c:v>Pan, tobacco and intoxicants </c:v>
                </c:pt>
                <c:pt idx="14">
                  <c:v>Clothing </c:v>
                </c:pt>
                <c:pt idx="15">
                  <c:v>Footwear </c:v>
                </c:pt>
                <c:pt idx="16">
                  <c:v>Clothing and footwear</c:v>
                </c:pt>
                <c:pt idx="17">
                  <c:v>Housing </c:v>
                </c:pt>
                <c:pt idx="18">
                  <c:v>Fuel and light</c:v>
                </c:pt>
                <c:pt idx="19">
                  <c:v>Household goods and services </c:v>
                </c:pt>
                <c:pt idx="20">
                  <c:v>Health </c:v>
                </c:pt>
                <c:pt idx="21">
                  <c:v>Transport and communication </c:v>
                </c:pt>
                <c:pt idx="22">
                  <c:v>Recreation and amusement </c:v>
                </c:pt>
                <c:pt idx="23">
                  <c:v>Education </c:v>
                </c:pt>
                <c:pt idx="24">
                  <c:v>Personal care and effects </c:v>
                </c:pt>
                <c:pt idx="25">
                  <c:v>Miscellaneous </c:v>
                </c:pt>
                <c:pt idx="26">
                  <c:v>General index </c:v>
                </c:pt>
              </c:strCache>
            </c:strRef>
          </c:xVal>
          <c:yVal>
            <c:numRef>
              <c:f>'EDA5'!$B$5:$B$31</c:f>
              <c:numCache>
                <c:formatCode>0.000</c:formatCode>
                <c:ptCount val="27"/>
                <c:pt idx="0">
                  <c:v>-0.27716672296543288</c:v>
                </c:pt>
                <c:pt idx="1">
                  <c:v>0.40040064739897835</c:v>
                </c:pt>
                <c:pt idx="2">
                  <c:v>-0.18170413833249624</c:v>
                </c:pt>
                <c:pt idx="3">
                  <c:v>-0.30382128884578513</c:v>
                </c:pt>
                <c:pt idx="4">
                  <c:v>0.43725739659375329</c:v>
                </c:pt>
                <c:pt idx="5">
                  <c:v>8.1210807948636193E-2</c:v>
                </c:pt>
                <c:pt idx="6">
                  <c:v>-1.2754405554063625E-2</c:v>
                </c:pt>
                <c:pt idx="7">
                  <c:v>-0.19037684252229373</c:v>
                </c:pt>
                <c:pt idx="8">
                  <c:v>-0.19438756399822549</c:v>
                </c:pt>
                <c:pt idx="9">
                  <c:v>-0.17496563611629062</c:v>
                </c:pt>
                <c:pt idx="10">
                  <c:v>0.20360857280701367</c:v>
                </c:pt>
                <c:pt idx="11">
                  <c:v>9.458431629080008E-2</c:v>
                </c:pt>
                <c:pt idx="12">
                  <c:v>4.0398782178320818E-2</c:v>
                </c:pt>
                <c:pt idx="13">
                  <c:v>0.1285871604165609</c:v>
                </c:pt>
                <c:pt idx="14">
                  <c:v>8.2634629496729617E-2</c:v>
                </c:pt>
                <c:pt idx="15">
                  <c:v>0.13270675725601272</c:v>
                </c:pt>
                <c:pt idx="16">
                  <c:v>9.5828877358025366E-2</c:v>
                </c:pt>
                <c:pt idx="17">
                  <c:v>0.11654485541997804</c:v>
                </c:pt>
                <c:pt idx="18">
                  <c:v>0.16108542742304435</c:v>
                </c:pt>
                <c:pt idx="19">
                  <c:v>-4.1878242068943895E-2</c:v>
                </c:pt>
                <c:pt idx="20">
                  <c:v>6.8456783075704908E-2</c:v>
                </c:pt>
                <c:pt idx="21">
                  <c:v>0.18569030897298974</c:v>
                </c:pt>
                <c:pt idx="22">
                  <c:v>0.10416276303257874</c:v>
                </c:pt>
                <c:pt idx="23">
                  <c:v>-0.17967163234040481</c:v>
                </c:pt>
                <c:pt idx="24">
                  <c:v>3.9366641967007177E-3</c:v>
                </c:pt>
                <c:pt idx="25">
                  <c:v>0.12400064278366851</c:v>
                </c:pt>
                <c:pt idx="26">
                  <c:v>7.6216559007987281E-2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504-4341-BE36-CDA025964AA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392997663"/>
        <c:axId val="1392998143"/>
      </c:scatterChart>
      <c:valAx>
        <c:axId val="1392997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998143"/>
        <c:crosses val="autoZero"/>
        <c:crossBetween val="midCat"/>
      </c:valAx>
      <c:valAx>
        <c:axId val="139299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997663"/>
        <c:crosses val="autoZero"/>
        <c:crossBetween val="midCat"/>
      </c:valAx>
      <c:spPr>
        <a:solidFill>
          <a:schemeClr val="accent2">
            <a:lumMod val="40000"/>
            <a:lumOff val="6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Y-O-Y % Infltion</a:t>
            </a:r>
            <a:r>
              <a:rPr lang="en-US" baseline="0"/>
              <a:t> </a:t>
            </a:r>
            <a:r>
              <a:rPr lang="en-US"/>
              <a:t>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'EDA2'!$F$7</c:f>
              <c:strCache>
                <c:ptCount val="1"/>
                <c:pt idx="0">
                  <c:v>Y-O-Y %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1"/>
              <c:layout>
                <c:manualLayout>
                  <c:x val="-5.5368110236220472E-2"/>
                  <c:y val="-0.1689468503937008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B39-4DF8-AC2A-B50F3F04B3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tx1"/>
                      </a:solidFill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'EDA2'!$C$8:$C$13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'EDA2'!$F$8:$F$13</c:f>
              <c:numCache>
                <c:formatCode>0.00%</c:formatCode>
                <c:ptCount val="6"/>
                <c:pt idx="0">
                  <c:v>5.0291545189504211E-2</c:v>
                </c:pt>
                <c:pt idx="1">
                  <c:v>2.2840827980014196E-2</c:v>
                </c:pt>
                <c:pt idx="2">
                  <c:v>7.1808510638297948E-2</c:v>
                </c:pt>
                <c:pt idx="3">
                  <c:v>5.4751415984896266E-2</c:v>
                </c:pt>
                <c:pt idx="4">
                  <c:v>5.3549939831528143E-2</c:v>
                </c:pt>
                <c:pt idx="5">
                  <c:v>5.6915196357427436E-2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39-4DF8-AC2A-B50F3F04B3E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86321503"/>
        <c:axId val="1186320543"/>
      </c:lineChart>
      <c:catAx>
        <c:axId val="1186321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bg2">
                        <a:lumMod val="1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chemeClr val="bg2">
                        <a:lumMod val="10000"/>
                      </a:schemeClr>
                    </a:solidFill>
                  </a:rPr>
                  <a:t>Years</a:t>
                </a:r>
              </a:p>
            </c:rich>
          </c:tx>
          <c:layout>
            <c:manualLayout>
              <c:xMode val="edge"/>
              <c:yMode val="edge"/>
              <c:x val="0.442246719160105"/>
              <c:y val="0.88747255430280514"/>
            </c:manualLayout>
          </c:layout>
          <c:overlay val="0"/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bg2">
                      <a:lumMod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accent2">
                      <a:lumMod val="50000"/>
                    </a:schemeClr>
                  </a:solidFill>
                </a:ln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320543"/>
        <c:crosses val="autoZero"/>
        <c:auto val="1"/>
        <c:lblAlgn val="ctr"/>
        <c:lblOffset val="100"/>
        <c:noMultiLvlLbl val="0"/>
      </c:catAx>
      <c:valAx>
        <c:axId val="118632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400" b="1" i="0" u="none" strike="noStrike" kern="1200" baseline="0">
                    <a:solidFill>
                      <a:schemeClr val="bg2">
                        <a:lumMod val="1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chemeClr val="bg2">
                        <a:lumMod val="10000"/>
                      </a:schemeClr>
                    </a:solidFill>
                    <a:latin typeface="+mn-lt"/>
                    <a:ea typeface="+mn-ea"/>
                    <a:cs typeface="+mn-cs"/>
                  </a:rPr>
                  <a:t>Inflation rate</a:t>
                </a:r>
              </a:p>
            </c:rich>
          </c:tx>
          <c:overlay val="0"/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400" b="1" i="0" u="none" strike="noStrike" kern="1200" baseline="0">
                  <a:solidFill>
                    <a:schemeClr val="bg2">
                      <a:lumMod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321503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rgbClr val="FAE1B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Contribution</a:t>
            </a:r>
            <a:r>
              <a:rPr lang="en-US" sz="1200" b="1" baseline="0"/>
              <a:t> of broader categories in inflation</a:t>
            </a:r>
            <a:endParaRPr lang="en-US" sz="1200" b="1"/>
          </a:p>
        </c:rich>
      </c:tx>
      <c:layout>
        <c:manualLayout>
          <c:xMode val="edge"/>
          <c:yMode val="edge"/>
          <c:x val="0.24040158985364957"/>
          <c:y val="1.040141961532759E-2"/>
        </c:manualLayout>
      </c:layout>
      <c:overlay val="0"/>
      <c:spPr>
        <a:solidFill>
          <a:srgbClr val="FFFF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0198141773143"/>
          <c:y val="0.26425329338106035"/>
          <c:w val="0.74413583301908126"/>
          <c:h val="0.6158821840536387"/>
        </c:manualLayout>
      </c:layout>
      <c:pie3DChart>
        <c:varyColors val="1"/>
        <c:ser>
          <c:idx val="0"/>
          <c:order val="0"/>
          <c:tx>
            <c:strRef>
              <c:f>'EDA1'!$C$14</c:f>
              <c:strCache>
                <c:ptCount val="1"/>
                <c:pt idx="0">
                  <c:v>Rural+Urban</c:v>
                </c:pt>
              </c:strCache>
            </c:strRef>
          </c:tx>
          <c:explosion val="1"/>
          <c:dPt>
            <c:idx val="0"/>
            <c:bubble3D val="0"/>
            <c:spPr>
              <a:solidFill>
                <a:srgbClr val="FFD13F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3143-40E3-86B6-1C3667DCA0E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3143-40E3-86B6-1C3667DCA0E5}"/>
              </c:ext>
            </c:extLst>
          </c:dPt>
          <c:dPt>
            <c:idx val="2"/>
            <c:bubble3D val="0"/>
            <c:spPr>
              <a:solidFill>
                <a:srgbClr val="BFE927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3143-40E3-86B6-1C3667DCA0E5}"/>
              </c:ext>
            </c:extLst>
          </c:dPt>
          <c:dPt>
            <c:idx val="3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3143-40E3-86B6-1C3667DCA0E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3143-40E3-86B6-1C3667DCA0E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3143-40E3-86B6-1C3667DCA0E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3143-40E3-86B6-1C3667DCA0E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3143-40E3-86B6-1C3667DCA0E5}"/>
              </c:ext>
            </c:extLst>
          </c:dPt>
          <c:dLbls>
            <c:dLbl>
              <c:idx val="0"/>
              <c:layout>
                <c:manualLayout>
                  <c:x val="6.1170849802183146E-2"/>
                  <c:y val="-8.739074436663926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143-40E3-86B6-1C3667DCA0E5}"/>
                </c:ext>
              </c:extLst>
            </c:dLbl>
            <c:dLbl>
              <c:idx val="2"/>
              <c:layout>
                <c:manualLayout>
                  <c:x val="-9.5579452815911181E-2"/>
                  <c:y val="-5.24344466199835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143-40E3-86B6-1C3667DCA0E5}"/>
                </c:ext>
              </c:extLst>
            </c:dLbl>
            <c:dLbl>
              <c:idx val="3"/>
              <c:layout>
                <c:manualLayout>
                  <c:x val="-7.2640384140092509E-2"/>
                  <c:y val="-1.498127046285244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143-40E3-86B6-1C3667DCA0E5}"/>
                </c:ext>
              </c:extLst>
            </c:dLbl>
            <c:dLbl>
              <c:idx val="4"/>
              <c:layout>
                <c:manualLayout>
                  <c:x val="-8.0286740365365372E-2"/>
                  <c:y val="8.489386595616381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143-40E3-86B6-1C3667DCA0E5}"/>
                </c:ext>
              </c:extLst>
            </c:dLbl>
            <c:dLbl>
              <c:idx val="5"/>
              <c:layout>
                <c:manualLayout>
                  <c:x val="-0.13126244853385133"/>
                  <c:y val="3.245941933618025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143-40E3-86B6-1C3667DCA0E5}"/>
                </c:ext>
              </c:extLst>
            </c:dLbl>
            <c:dLbl>
              <c:idx val="6"/>
              <c:layout>
                <c:manualLayout>
                  <c:x val="-3.4408603013728063E-2"/>
                  <c:y val="-5.24344466199835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143-40E3-86B6-1C3667DCA0E5}"/>
                </c:ext>
              </c:extLst>
            </c:dLbl>
            <c:dLbl>
              <c:idx val="7"/>
              <c:layout>
                <c:manualLayout>
                  <c:x val="0.24580548028959168"/>
                  <c:y val="3.514986348126358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143-40E3-86B6-1C3667DCA0E5}"/>
                </c:ext>
              </c:extLst>
            </c:dLbl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'EDA1'!$F$11:$M$11</c:f>
              <c:strCache>
                <c:ptCount val="8"/>
                <c:pt idx="0">
                  <c:v>Food category</c:v>
                </c:pt>
                <c:pt idx="1">
                  <c:v>Pan, tobacco and intoxicants</c:v>
                </c:pt>
                <c:pt idx="2">
                  <c:v>Clothing category</c:v>
                </c:pt>
                <c:pt idx="3">
                  <c:v>House category</c:v>
                </c:pt>
                <c:pt idx="4">
                  <c:v>Health and Education</c:v>
                </c:pt>
                <c:pt idx="5">
                  <c:v>Transport and communication</c:v>
                </c:pt>
                <c:pt idx="6">
                  <c:v>Recreation and amusement</c:v>
                </c:pt>
                <c:pt idx="7">
                  <c:v>Miscellaneous</c:v>
                </c:pt>
              </c:strCache>
            </c:strRef>
          </c:cat>
          <c:val>
            <c:numRef>
              <c:f>'EDA1'!$F$14:$M$14</c:f>
              <c:numCache>
                <c:formatCode>0.00%</c:formatCode>
                <c:ptCount val="8"/>
                <c:pt idx="0">
                  <c:v>0.49563853557923682</c:v>
                </c:pt>
                <c:pt idx="1">
                  <c:v>4.3184943279477479E-2</c:v>
                </c:pt>
                <c:pt idx="2">
                  <c:v>0.11885527672739772</c:v>
                </c:pt>
                <c:pt idx="3">
                  <c:v>0.11464420763148846</c:v>
                </c:pt>
                <c:pt idx="4">
                  <c:v>0.1177380543141973</c:v>
                </c:pt>
                <c:pt idx="5">
                  <c:v>3.5407356479889997E-2</c:v>
                </c:pt>
                <c:pt idx="6">
                  <c:v>3.6782399449982808E-2</c:v>
                </c:pt>
                <c:pt idx="7">
                  <c:v>3.7749226538329315E-2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143-40E3-86B6-1C3667DCA0E5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FFFF66"/>
        </a:solidFill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y-o-y</a:t>
            </a:r>
            <a:r>
              <a:rPr lang="en-US" baseline="0"/>
              <a:t> of individual category</a:t>
            </a:r>
            <a:endParaRPr lang="en-US"/>
          </a:p>
        </c:rich>
      </c:tx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gradFill flip="none" rotWithShape="1">
          <a:gsLst>
            <a:gs pos="0">
              <a:schemeClr val="accent2">
                <a:lumMod val="5000"/>
                <a:lumOff val="95000"/>
              </a:schemeClr>
            </a:gs>
            <a:gs pos="74000">
              <a:schemeClr val="accent2">
                <a:lumMod val="45000"/>
                <a:lumOff val="55000"/>
              </a:schemeClr>
            </a:gs>
            <a:gs pos="83000">
              <a:schemeClr val="accent2">
                <a:lumMod val="45000"/>
                <a:lumOff val="55000"/>
              </a:schemeClr>
            </a:gs>
            <a:gs pos="100000">
              <a:schemeClr val="accent2">
                <a:lumMod val="30000"/>
                <a:lumOff val="70000"/>
              </a:schemeClr>
            </a:gs>
          </a:gsLst>
          <a:lin ang="5400000" scaled="1"/>
          <a:tileRect/>
        </a:gradFill>
        <a:ln>
          <a:noFill/>
        </a:ln>
        <a:effectLst/>
        <a:sp3d/>
      </c:spPr>
    </c:sideWall>
    <c:backWall>
      <c:thickness val="0"/>
      <c:spPr>
        <a:gradFill flip="none" rotWithShape="1">
          <a:gsLst>
            <a:gs pos="0">
              <a:schemeClr val="accent2">
                <a:lumMod val="5000"/>
                <a:lumOff val="95000"/>
              </a:schemeClr>
            </a:gs>
            <a:gs pos="74000">
              <a:schemeClr val="accent2">
                <a:lumMod val="45000"/>
                <a:lumOff val="55000"/>
              </a:schemeClr>
            </a:gs>
            <a:gs pos="83000">
              <a:schemeClr val="accent2">
                <a:lumMod val="45000"/>
                <a:lumOff val="55000"/>
              </a:schemeClr>
            </a:gs>
            <a:gs pos="100000">
              <a:schemeClr val="accent2">
                <a:lumMod val="30000"/>
                <a:lumOff val="70000"/>
              </a:schemeClr>
            </a:gs>
          </a:gsLst>
          <a:lin ang="5400000" scaled="1"/>
          <a:tileRect/>
        </a:gradFill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929055118110236E-2"/>
          <c:y val="4.4742407199100109E-2"/>
          <c:w val="0.87870944597037171"/>
          <c:h val="0.88132191689593331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'EDA 3'!$F$36</c:f>
              <c:strCache>
                <c:ptCount val="1"/>
                <c:pt idx="0">
                  <c:v>Y-O-Y %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strRef>
              <c:f>'EDA 3'!$C$37:$C$49</c:f>
              <c:strCache>
                <c:ptCount val="13"/>
                <c:pt idx="0">
                  <c:v>Cereals and products</c:v>
                </c:pt>
                <c:pt idx="1">
                  <c:v>Meat and fish</c:v>
                </c:pt>
                <c:pt idx="2">
                  <c:v>Egg</c:v>
                </c:pt>
                <c:pt idx="3">
                  <c:v>Milk and products</c:v>
                </c:pt>
                <c:pt idx="4">
                  <c:v>Oils and fats</c:v>
                </c:pt>
                <c:pt idx="5">
                  <c:v>Fruits</c:v>
                </c:pt>
                <c:pt idx="6">
                  <c:v>Vegetables</c:v>
                </c:pt>
                <c:pt idx="7">
                  <c:v>Pulses and products</c:v>
                </c:pt>
                <c:pt idx="8">
                  <c:v>Sugar and Confectionery</c:v>
                </c:pt>
                <c:pt idx="9">
                  <c:v>Spices</c:v>
                </c:pt>
                <c:pt idx="10">
                  <c:v>Non-alcoholic beverages</c:v>
                </c:pt>
                <c:pt idx="11">
                  <c:v>Prepared meals, snacks, sweets etc.</c:v>
                </c:pt>
                <c:pt idx="12">
                  <c:v>Food and beverages</c:v>
                </c:pt>
              </c:strCache>
            </c:strRef>
          </c:cat>
          <c:val>
            <c:numRef>
              <c:f>'EDA 3'!$F$37:$F$49</c:f>
              <c:numCache>
                <c:formatCode>0.00%</c:formatCode>
                <c:ptCount val="13"/>
                <c:pt idx="0">
                  <c:v>0.1206451612903225</c:v>
                </c:pt>
                <c:pt idx="1">
                  <c:v>-2.3245214220601614E-2</c:v>
                </c:pt>
                <c:pt idx="2">
                  <c:v>1.4051522248243426E-2</c:v>
                </c:pt>
                <c:pt idx="3">
                  <c:v>8.2629674306393175E-2</c:v>
                </c:pt>
                <c:pt idx="4">
                  <c:v>-0.15380786460925835</c:v>
                </c:pt>
                <c:pt idx="5">
                  <c:v>1.4731879787860933E-2</c:v>
                </c:pt>
                <c:pt idx="6">
                  <c:v>-0.11684037301151953</c:v>
                </c:pt>
                <c:pt idx="7">
                  <c:v>6.8776628119293873E-2</c:v>
                </c:pt>
                <c:pt idx="8">
                  <c:v>2.3352793994995805E-2</c:v>
                </c:pt>
                <c:pt idx="9">
                  <c:v>0.16515232495991453</c:v>
                </c:pt>
                <c:pt idx="10">
                  <c:v>3.2757593805836809E-2</c:v>
                </c:pt>
                <c:pt idx="11">
                  <c:v>5.6008700380641561E-2</c:v>
                </c:pt>
                <c:pt idx="12">
                  <c:v>2.4013722126929607E-2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A0-4479-90B6-71770CBA4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84672799"/>
        <c:axId val="1284680959"/>
        <c:axId val="0"/>
      </c:bar3DChart>
      <c:catAx>
        <c:axId val="128467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12700" cmpd="dbl">
                  <a:solidFill>
                    <a:schemeClr val="tx1">
                      <a:lumMod val="95000"/>
                      <a:lumOff val="5000"/>
                      <a:alpha val="61000"/>
                    </a:schemeClr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4200000" algn="ctr" rotWithShape="0">
                    <a:schemeClr val="tx1">
                      <a:lumMod val="50000"/>
                      <a:lumOff val="5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680959"/>
        <c:crosses val="autoZero"/>
        <c:auto val="1"/>
        <c:lblAlgn val="ctr"/>
        <c:lblOffset val="100"/>
        <c:noMultiLvlLbl val="0"/>
      </c:catAx>
      <c:valAx>
        <c:axId val="1284680959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gradFill>
            <a:gsLst>
              <a:gs pos="0">
                <a:schemeClr val="accent2">
                  <a:lumMod val="5000"/>
                  <a:lumOff val="95000"/>
                </a:schemeClr>
              </a:gs>
              <a:gs pos="74000">
                <a:schemeClr val="accent2">
                  <a:lumMod val="45000"/>
                  <a:lumOff val="55000"/>
                </a:schemeClr>
              </a:gs>
              <a:gs pos="83000">
                <a:schemeClr val="accent2">
                  <a:lumMod val="45000"/>
                  <a:lumOff val="55000"/>
                </a:schemeClr>
              </a:gs>
              <a:gs pos="100000">
                <a:schemeClr val="accent2">
                  <a:lumMod val="30000"/>
                  <a:lumOff val="70000"/>
                </a:schemeClr>
              </a:gs>
            </a:gsLst>
            <a:lin ang="5400000" scaled="1"/>
          </a:gradFill>
          <a:ln>
            <a:solidFill>
              <a:schemeClr val="tx1">
                <a:lumMod val="95000"/>
                <a:lumOff val="5000"/>
                <a:alpha val="77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672799"/>
        <c:crosses val="autoZero"/>
        <c:crossBetween val="between"/>
      </c:valAx>
      <c:spPr>
        <a:gradFill>
          <a:gsLst>
            <a:gs pos="0">
              <a:schemeClr val="accent2">
                <a:lumMod val="5000"/>
                <a:lumOff val="95000"/>
              </a:schemeClr>
            </a:gs>
            <a:gs pos="74000">
              <a:schemeClr val="accent2">
                <a:lumMod val="45000"/>
                <a:lumOff val="55000"/>
              </a:schemeClr>
            </a:gs>
            <a:gs pos="83000">
              <a:schemeClr val="accent2">
                <a:lumMod val="45000"/>
                <a:lumOff val="55000"/>
              </a:schemeClr>
            </a:gs>
            <a:gs pos="100000">
              <a:schemeClr val="accent2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rgbClr val="FFFF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'EDA5'!$B$4</c:f>
              <c:strCache>
                <c:ptCount val="1"/>
                <c:pt idx="0">
                  <c:v>Correlation with Crude oil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'EDA5'!$A$5:$A$31</c:f>
              <c:strCache>
                <c:ptCount val="27"/>
                <c:pt idx="0">
                  <c:v>Cereals and products </c:v>
                </c:pt>
                <c:pt idx="1">
                  <c:v>Meat and fish </c:v>
                </c:pt>
                <c:pt idx="2">
                  <c:v>Egg </c:v>
                </c:pt>
                <c:pt idx="3">
                  <c:v>Milk and products </c:v>
                </c:pt>
                <c:pt idx="4">
                  <c:v>Oils and fats </c:v>
                </c:pt>
                <c:pt idx="5">
                  <c:v>Fruits </c:v>
                </c:pt>
                <c:pt idx="6">
                  <c:v>Vegetables </c:v>
                </c:pt>
                <c:pt idx="7">
                  <c:v>Pulses and products </c:v>
                </c:pt>
                <c:pt idx="8">
                  <c:v>Sugar and Confectionery </c:v>
                </c:pt>
                <c:pt idx="9">
                  <c:v>Spices</c:v>
                </c:pt>
                <c:pt idx="10">
                  <c:v>Non-alcoholic beverages </c:v>
                </c:pt>
                <c:pt idx="11">
                  <c:v>Prepared meals, snacks, sweets etc. </c:v>
                </c:pt>
                <c:pt idx="12">
                  <c:v>Food and beverages </c:v>
                </c:pt>
                <c:pt idx="13">
                  <c:v>Pan, tobacco and intoxicants </c:v>
                </c:pt>
                <c:pt idx="14">
                  <c:v>Clothing </c:v>
                </c:pt>
                <c:pt idx="15">
                  <c:v>Footwear </c:v>
                </c:pt>
                <c:pt idx="16">
                  <c:v>Clothing and footwear</c:v>
                </c:pt>
                <c:pt idx="17">
                  <c:v>Housing </c:v>
                </c:pt>
                <c:pt idx="18">
                  <c:v>Fuel and light</c:v>
                </c:pt>
                <c:pt idx="19">
                  <c:v>Household goods and services </c:v>
                </c:pt>
                <c:pt idx="20">
                  <c:v>Health </c:v>
                </c:pt>
                <c:pt idx="21">
                  <c:v>Transport and communication </c:v>
                </c:pt>
                <c:pt idx="22">
                  <c:v>Recreation and amusement </c:v>
                </c:pt>
                <c:pt idx="23">
                  <c:v>Education </c:v>
                </c:pt>
                <c:pt idx="24">
                  <c:v>Personal care and effects </c:v>
                </c:pt>
                <c:pt idx="25">
                  <c:v>Miscellaneous </c:v>
                </c:pt>
                <c:pt idx="26">
                  <c:v>General index </c:v>
                </c:pt>
              </c:strCache>
            </c:strRef>
          </c:xVal>
          <c:yVal>
            <c:numRef>
              <c:f>'EDA5'!$B$5:$B$31</c:f>
              <c:numCache>
                <c:formatCode>0.000</c:formatCode>
                <c:ptCount val="27"/>
                <c:pt idx="0">
                  <c:v>-0.27716672296543288</c:v>
                </c:pt>
                <c:pt idx="1">
                  <c:v>0.40040064739897835</c:v>
                </c:pt>
                <c:pt idx="2">
                  <c:v>-0.18170413833249624</c:v>
                </c:pt>
                <c:pt idx="3">
                  <c:v>-0.30382128884578513</c:v>
                </c:pt>
                <c:pt idx="4">
                  <c:v>0.43725739659375329</c:v>
                </c:pt>
                <c:pt idx="5">
                  <c:v>8.1210807948636193E-2</c:v>
                </c:pt>
                <c:pt idx="6">
                  <c:v>-1.2754405554063625E-2</c:v>
                </c:pt>
                <c:pt idx="7">
                  <c:v>-0.19037684252229373</c:v>
                </c:pt>
                <c:pt idx="8">
                  <c:v>-0.19438756399822549</c:v>
                </c:pt>
                <c:pt idx="9">
                  <c:v>-0.17496563611629062</c:v>
                </c:pt>
                <c:pt idx="10">
                  <c:v>0.20360857280701367</c:v>
                </c:pt>
                <c:pt idx="11">
                  <c:v>9.458431629080008E-2</c:v>
                </c:pt>
                <c:pt idx="12">
                  <c:v>4.0398782178320818E-2</c:v>
                </c:pt>
                <c:pt idx="13">
                  <c:v>0.1285871604165609</c:v>
                </c:pt>
                <c:pt idx="14">
                  <c:v>8.2634629496729617E-2</c:v>
                </c:pt>
                <c:pt idx="15">
                  <c:v>0.13270675725601272</c:v>
                </c:pt>
                <c:pt idx="16">
                  <c:v>9.5828877358025366E-2</c:v>
                </c:pt>
                <c:pt idx="17">
                  <c:v>0.11654485541997804</c:v>
                </c:pt>
                <c:pt idx="18">
                  <c:v>0.16108542742304435</c:v>
                </c:pt>
                <c:pt idx="19">
                  <c:v>-4.1878242068943895E-2</c:v>
                </c:pt>
                <c:pt idx="20">
                  <c:v>6.8456783075704908E-2</c:v>
                </c:pt>
                <c:pt idx="21">
                  <c:v>0.18569030897298974</c:v>
                </c:pt>
                <c:pt idx="22">
                  <c:v>0.10416276303257874</c:v>
                </c:pt>
                <c:pt idx="23">
                  <c:v>-0.17967163234040481</c:v>
                </c:pt>
                <c:pt idx="24">
                  <c:v>3.9366641967007177E-3</c:v>
                </c:pt>
                <c:pt idx="25">
                  <c:v>0.12400064278366851</c:v>
                </c:pt>
                <c:pt idx="26">
                  <c:v>7.6216559007987281E-2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7B-4E8C-9FBF-3D6C7D180C9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392997663"/>
        <c:axId val="1392998143"/>
      </c:scatterChart>
      <c:valAx>
        <c:axId val="1392997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998143"/>
        <c:crosses val="autoZero"/>
        <c:crossBetween val="midCat"/>
      </c:valAx>
      <c:valAx>
        <c:axId val="139299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997663"/>
        <c:crosses val="autoZero"/>
        <c:crossBetween val="midCat"/>
      </c:valAx>
      <c:spPr>
        <a:solidFill>
          <a:schemeClr val="accent2">
            <a:lumMod val="40000"/>
            <a:lumOff val="6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5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bg2">
                    <a:lumMod val="10000"/>
                  </a:schemeClr>
                </a:solidFill>
              </a:rPr>
              <a:t>Y-o-y</a:t>
            </a:r>
            <a:r>
              <a:rPr lang="en-US" sz="1600" b="1" baseline="0">
                <a:solidFill>
                  <a:schemeClr val="bg2">
                    <a:lumMod val="10000"/>
                  </a:schemeClr>
                </a:solidFill>
              </a:rPr>
              <a:t> Inflation before covid-19</a:t>
            </a:r>
            <a:endParaRPr lang="en-US" sz="1600" b="1">
              <a:solidFill>
                <a:schemeClr val="bg2">
                  <a:lumMod val="10000"/>
                </a:schemeClr>
              </a:solidFill>
            </a:endParaRPr>
          </a:p>
        </c:rich>
      </c:tx>
      <c:overlay val="0"/>
      <c:spPr>
        <a:solidFill>
          <a:srgbClr val="FFD13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50" baseline="0">
              <a:solidFill>
                <a:schemeClr val="bg2">
                  <a:lumMod val="1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0"/>
      <c:rotY val="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gradFill>
          <a:gsLst>
            <a:gs pos="0">
              <a:schemeClr val="accent2">
                <a:lumMod val="5000"/>
                <a:lumOff val="95000"/>
              </a:schemeClr>
            </a:gs>
            <a:gs pos="74000">
              <a:schemeClr val="accent2">
                <a:lumMod val="45000"/>
                <a:lumOff val="55000"/>
              </a:schemeClr>
            </a:gs>
            <a:gs pos="83000">
              <a:schemeClr val="accent2">
                <a:lumMod val="45000"/>
                <a:lumOff val="55000"/>
              </a:schemeClr>
            </a:gs>
            <a:gs pos="100000">
              <a:schemeClr val="accent2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  <a:sp3d/>
      </c:spPr>
    </c:sideWall>
    <c:backWall>
      <c:thickness val="0"/>
      <c:spPr>
        <a:gradFill>
          <a:gsLst>
            <a:gs pos="0">
              <a:schemeClr val="accent2">
                <a:lumMod val="5000"/>
                <a:lumOff val="95000"/>
              </a:schemeClr>
            </a:gs>
            <a:gs pos="74000">
              <a:schemeClr val="accent2">
                <a:lumMod val="45000"/>
                <a:lumOff val="55000"/>
              </a:schemeClr>
            </a:gs>
            <a:gs pos="83000">
              <a:schemeClr val="accent2">
                <a:lumMod val="45000"/>
                <a:lumOff val="55000"/>
              </a:schemeClr>
            </a:gs>
            <a:gs pos="100000">
              <a:schemeClr val="accent2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5808217736702734"/>
          <c:y val="0.40487314085739284"/>
          <c:w val="0.84191782263297266"/>
          <c:h val="0.56969852726742487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'EDA4'!$D$28</c:f>
              <c:strCache>
                <c:ptCount val="1"/>
                <c:pt idx="0">
                  <c:v>Vegetables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'EDA4'!$E$27</c:f>
              <c:strCache>
                <c:ptCount val="1"/>
                <c:pt idx="0">
                  <c:v>YoY Inflation</c:v>
                </c:pt>
              </c:strCache>
            </c:strRef>
          </c:cat>
          <c:val>
            <c:numRef>
              <c:f>'EDA4'!$E$28</c:f>
              <c:numCache>
                <c:formatCode>0.00%</c:formatCode>
                <c:ptCount val="1"/>
                <c:pt idx="0">
                  <c:v>0.28733031674208143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47-4E18-81F1-B6D97E5E9AF1}"/>
            </c:ext>
          </c:extLst>
        </c:ser>
        <c:ser>
          <c:idx val="1"/>
          <c:order val="1"/>
          <c:tx>
            <c:strRef>
              <c:f>'EDA4'!$D$29</c:f>
              <c:strCache>
                <c:ptCount val="1"/>
                <c:pt idx="0">
                  <c:v>Pulses and products</c:v>
                </c:pt>
              </c:strCache>
            </c:strRef>
          </c:tx>
          <c:spPr>
            <a:pattFill prst="ltDnDiag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solidFill>
                <a:schemeClr val="accent2"/>
              </a:solidFill>
            </a:ln>
            <a:effectLst/>
            <a:sp3d>
              <a:contourClr>
                <a:schemeClr val="accent2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'EDA4'!$E$27</c:f>
              <c:strCache>
                <c:ptCount val="1"/>
                <c:pt idx="0">
                  <c:v>YoY Inflation</c:v>
                </c:pt>
              </c:strCache>
            </c:strRef>
          </c:cat>
          <c:val>
            <c:numRef>
              <c:f>'EDA4'!$E$29</c:f>
              <c:numCache>
                <c:formatCode>0.00%</c:formatCode>
                <c:ptCount val="1"/>
                <c:pt idx="0">
                  <c:v>0.15845648604269291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47-4E18-81F1-B6D97E5E9AF1}"/>
            </c:ext>
          </c:extLst>
        </c:ser>
        <c:ser>
          <c:idx val="2"/>
          <c:order val="2"/>
          <c:tx>
            <c:strRef>
              <c:f>'EDA4'!$D$30</c:f>
              <c:strCache>
                <c:ptCount val="1"/>
                <c:pt idx="0">
                  <c:v>Meat and fish</c:v>
                </c:pt>
              </c:strCache>
            </c:strRef>
          </c:tx>
          <c:spPr>
            <a:pattFill prst="ltDnDiag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solidFill>
                <a:schemeClr val="accent3"/>
              </a:solidFill>
            </a:ln>
            <a:effectLst/>
            <a:sp3d>
              <a:contourClr>
                <a:schemeClr val="accent3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'EDA4'!$E$27</c:f>
              <c:strCache>
                <c:ptCount val="1"/>
                <c:pt idx="0">
                  <c:v>YoY Inflation</c:v>
                </c:pt>
              </c:strCache>
            </c:strRef>
          </c:cat>
          <c:val>
            <c:numRef>
              <c:f>'EDA4'!$E$30</c:f>
              <c:numCache>
                <c:formatCode>0.00%</c:formatCode>
                <c:ptCount val="1"/>
                <c:pt idx="0">
                  <c:v>9.4771241830065356E-2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47-4E18-81F1-B6D97E5E9AF1}"/>
            </c:ext>
          </c:extLst>
        </c:ser>
        <c:ser>
          <c:idx val="3"/>
          <c:order val="3"/>
          <c:tx>
            <c:strRef>
              <c:f>'EDA4'!$D$31</c:f>
              <c:strCache>
                <c:ptCount val="1"/>
                <c:pt idx="0">
                  <c:v>Spices</c:v>
                </c:pt>
              </c:strCache>
            </c:strRef>
          </c:tx>
          <c:spPr>
            <a:pattFill prst="ltDnDiag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solidFill>
                <a:schemeClr val="accent4"/>
              </a:solidFill>
            </a:ln>
            <a:effectLst/>
            <a:sp3d>
              <a:contourClr>
                <a:schemeClr val="accent4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'EDA4'!$E$27</c:f>
              <c:strCache>
                <c:ptCount val="1"/>
                <c:pt idx="0">
                  <c:v>YoY Inflation</c:v>
                </c:pt>
              </c:strCache>
            </c:strRef>
          </c:cat>
          <c:val>
            <c:numRef>
              <c:f>'EDA4'!$E$31</c:f>
              <c:numCache>
                <c:formatCode>0.00%</c:formatCode>
                <c:ptCount val="1"/>
                <c:pt idx="0">
                  <c:v>8.9605734767025089E-2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47-4E18-81F1-B6D97E5E9AF1}"/>
            </c:ext>
          </c:extLst>
        </c:ser>
        <c:ser>
          <c:idx val="4"/>
          <c:order val="4"/>
          <c:tx>
            <c:strRef>
              <c:f>'EDA4'!$D$32</c:f>
              <c:strCache>
                <c:ptCount val="1"/>
                <c:pt idx="0">
                  <c:v>Egg</c:v>
                </c:pt>
              </c:strCache>
            </c:strRef>
          </c:tx>
          <c:spPr>
            <a:pattFill prst="ltDnDiag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solidFill>
                <a:schemeClr val="accent5"/>
              </a:solidFill>
            </a:ln>
            <a:effectLst/>
            <a:sp3d>
              <a:contourClr>
                <a:schemeClr val="accent5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'EDA4'!$E$27</c:f>
              <c:strCache>
                <c:ptCount val="1"/>
                <c:pt idx="0">
                  <c:v>YoY Inflation</c:v>
                </c:pt>
              </c:strCache>
            </c:strRef>
          </c:cat>
          <c:val>
            <c:numRef>
              <c:f>'EDA4'!$E$32</c:f>
              <c:numCache>
                <c:formatCode>0.00%</c:formatCode>
                <c:ptCount val="1"/>
                <c:pt idx="0">
                  <c:v>8.1967213114754092E-2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47-4E18-81F1-B6D97E5E9A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0"/>
        <c:gapDepth val="0"/>
        <c:shape val="box"/>
        <c:axId val="1192592655"/>
        <c:axId val="1192590255"/>
        <c:axId val="0"/>
      </c:bar3DChart>
      <c:catAx>
        <c:axId val="11925926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92590255"/>
        <c:crosses val="autoZero"/>
        <c:auto val="1"/>
        <c:lblAlgn val="ctr"/>
        <c:lblOffset val="100"/>
        <c:noMultiLvlLbl val="0"/>
      </c:catAx>
      <c:valAx>
        <c:axId val="1192590255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spPr>
          <a:solidFill>
            <a:schemeClr val="bg2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592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2">
            <a:lumMod val="5000"/>
            <a:lumOff val="95000"/>
          </a:schemeClr>
        </a:gs>
        <a:gs pos="74000">
          <a:schemeClr val="accent2">
            <a:lumMod val="45000"/>
            <a:lumOff val="55000"/>
          </a:schemeClr>
        </a:gs>
        <a:gs pos="83000">
          <a:schemeClr val="accent2">
            <a:lumMod val="45000"/>
            <a:lumOff val="55000"/>
          </a:schemeClr>
        </a:gs>
        <a:gs pos="100000">
          <a:schemeClr val="accent2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15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chemeClr val="bg2">
                    <a:lumMod val="10000"/>
                  </a:schemeClr>
                </a:solidFill>
              </a:rPr>
              <a:t>y-o-y inflation after covid-19</a:t>
            </a:r>
          </a:p>
        </c:rich>
      </c:tx>
      <c:overlay val="0"/>
      <c:spPr>
        <a:solidFill>
          <a:srgbClr val="FFD13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150" baseline="0">
              <a:solidFill>
                <a:schemeClr val="bg2">
                  <a:lumMod val="1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0"/>
      <c:rotY val="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gradFill>
          <a:gsLst>
            <a:gs pos="0">
              <a:schemeClr val="accent2">
                <a:lumMod val="5000"/>
                <a:lumOff val="95000"/>
              </a:schemeClr>
            </a:gs>
            <a:gs pos="74000">
              <a:schemeClr val="accent2">
                <a:lumMod val="45000"/>
                <a:lumOff val="55000"/>
              </a:schemeClr>
            </a:gs>
            <a:gs pos="83000">
              <a:schemeClr val="accent2">
                <a:lumMod val="45000"/>
                <a:lumOff val="55000"/>
              </a:schemeClr>
            </a:gs>
            <a:gs pos="100000">
              <a:schemeClr val="accent2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  <a:sp3d/>
      </c:spPr>
    </c:sideWall>
    <c:backWall>
      <c:thickness val="0"/>
      <c:spPr>
        <a:gradFill>
          <a:gsLst>
            <a:gs pos="0">
              <a:schemeClr val="accent2">
                <a:lumMod val="5000"/>
                <a:lumOff val="95000"/>
              </a:schemeClr>
            </a:gs>
            <a:gs pos="74000">
              <a:schemeClr val="accent2">
                <a:lumMod val="45000"/>
                <a:lumOff val="55000"/>
              </a:schemeClr>
            </a:gs>
            <a:gs pos="83000">
              <a:schemeClr val="accent2">
                <a:lumMod val="45000"/>
                <a:lumOff val="55000"/>
              </a:schemeClr>
            </a:gs>
            <a:gs pos="100000">
              <a:schemeClr val="accent2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'EDA4'!$K$28</c:f>
              <c:strCache>
                <c:ptCount val="1"/>
                <c:pt idx="0">
                  <c:v>Oils and fats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'EDA4'!$L$27</c:f>
              <c:strCache>
                <c:ptCount val="1"/>
                <c:pt idx="0">
                  <c:v>YoY Inflation</c:v>
                </c:pt>
              </c:strCache>
            </c:strRef>
          </c:cat>
          <c:val>
            <c:numRef>
              <c:f>'EDA4'!$L$28</c:f>
              <c:numCache>
                <c:formatCode>0.00%</c:formatCode>
                <c:ptCount val="1"/>
                <c:pt idx="0">
                  <c:v>0.20960365853658539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E5-4DBE-AF83-3EA8113C8A1B}"/>
            </c:ext>
          </c:extLst>
        </c:ser>
        <c:ser>
          <c:idx val="1"/>
          <c:order val="1"/>
          <c:tx>
            <c:strRef>
              <c:f>'EDA4'!$K$29</c:f>
              <c:strCache>
                <c:ptCount val="1"/>
                <c:pt idx="0">
                  <c:v>Egg</c:v>
                </c:pt>
              </c:strCache>
            </c:strRef>
          </c:tx>
          <c:spPr>
            <a:pattFill prst="ltDnDiag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solidFill>
                <a:schemeClr val="accent2"/>
              </a:solidFill>
            </a:ln>
            <a:effectLst/>
            <a:sp3d>
              <a:contourClr>
                <a:schemeClr val="accent2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'EDA4'!$L$27</c:f>
              <c:strCache>
                <c:ptCount val="1"/>
                <c:pt idx="0">
                  <c:v>YoY Inflation</c:v>
                </c:pt>
              </c:strCache>
            </c:strRef>
          </c:cat>
          <c:val>
            <c:numRef>
              <c:f>'EDA4'!$L$29</c:f>
              <c:numCache>
                <c:formatCode>0.00%</c:formatCode>
                <c:ptCount val="1"/>
                <c:pt idx="0">
                  <c:v>0.13909520594193109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E5-4DBE-AF83-3EA8113C8A1B}"/>
            </c:ext>
          </c:extLst>
        </c:ser>
        <c:ser>
          <c:idx val="2"/>
          <c:order val="2"/>
          <c:tx>
            <c:strRef>
              <c:f>'EDA4'!$K$30</c:f>
              <c:strCache>
                <c:ptCount val="1"/>
                <c:pt idx="0">
                  <c:v>Non-alcoholic beverages</c:v>
                </c:pt>
              </c:strCache>
            </c:strRef>
          </c:tx>
          <c:spPr>
            <a:pattFill prst="ltDnDiag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solidFill>
                <a:schemeClr val="accent3"/>
              </a:solidFill>
            </a:ln>
            <a:effectLst/>
            <a:sp3d>
              <a:contourClr>
                <a:schemeClr val="accent3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'EDA4'!$L$27</c:f>
              <c:strCache>
                <c:ptCount val="1"/>
                <c:pt idx="0">
                  <c:v>YoY Inflation</c:v>
                </c:pt>
              </c:strCache>
            </c:strRef>
          </c:cat>
          <c:val>
            <c:numRef>
              <c:f>'EDA4'!$L$30</c:f>
              <c:numCache>
                <c:formatCode>0.00%</c:formatCode>
                <c:ptCount val="1"/>
                <c:pt idx="0">
                  <c:v>0.13752743233357728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E5-4DBE-AF83-3EA8113C8A1B}"/>
            </c:ext>
          </c:extLst>
        </c:ser>
        <c:ser>
          <c:idx val="3"/>
          <c:order val="3"/>
          <c:tx>
            <c:strRef>
              <c:f>'EDA4'!$K$31</c:f>
              <c:strCache>
                <c:ptCount val="1"/>
                <c:pt idx="0">
                  <c:v>Pulses and products</c:v>
                </c:pt>
              </c:strCache>
            </c:strRef>
          </c:tx>
          <c:spPr>
            <a:pattFill prst="ltDnDiag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solidFill>
                <a:schemeClr val="accent4"/>
              </a:solidFill>
            </a:ln>
            <a:effectLst/>
            <a:sp3d>
              <a:contourClr>
                <a:schemeClr val="accent4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'EDA4'!$L$27</c:f>
              <c:strCache>
                <c:ptCount val="1"/>
                <c:pt idx="0">
                  <c:v>YoY Inflation</c:v>
                </c:pt>
              </c:strCache>
            </c:strRef>
          </c:cat>
          <c:val>
            <c:numRef>
              <c:f>'EDA4'!$L$31</c:f>
              <c:numCache>
                <c:formatCode>0.00%</c:formatCode>
                <c:ptCount val="1"/>
                <c:pt idx="0">
                  <c:v>0.12544294826364294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E5-4DBE-AF83-3EA8113C8A1B}"/>
            </c:ext>
          </c:extLst>
        </c:ser>
        <c:ser>
          <c:idx val="4"/>
          <c:order val="4"/>
          <c:tx>
            <c:strRef>
              <c:f>'EDA4'!$K$32</c:f>
              <c:strCache>
                <c:ptCount val="1"/>
                <c:pt idx="0">
                  <c:v>Transport and communication</c:v>
                </c:pt>
              </c:strCache>
            </c:strRef>
          </c:tx>
          <c:spPr>
            <a:pattFill prst="ltDnDiag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solidFill>
                <a:schemeClr val="accent5"/>
              </a:solidFill>
            </a:ln>
            <a:effectLst/>
            <a:sp3d>
              <a:contourClr>
                <a:schemeClr val="accent5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'EDA4'!$L$27</c:f>
              <c:strCache>
                <c:ptCount val="1"/>
                <c:pt idx="0">
                  <c:v>YoY Inflation</c:v>
                </c:pt>
              </c:strCache>
            </c:strRef>
          </c:cat>
          <c:val>
            <c:numRef>
              <c:f>'EDA4'!$L$32</c:f>
              <c:numCache>
                <c:formatCode>0.00%</c:formatCode>
                <c:ptCount val="1"/>
                <c:pt idx="0">
                  <c:v>0.11701308698999222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E5-4DBE-AF83-3EA8113C8A1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0"/>
        <c:gapDepth val="0"/>
        <c:shape val="box"/>
        <c:axId val="917477823"/>
        <c:axId val="917477343"/>
        <c:axId val="0"/>
      </c:bar3DChart>
      <c:catAx>
        <c:axId val="9174778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17477343"/>
        <c:crosses val="autoZero"/>
        <c:auto val="1"/>
        <c:lblAlgn val="ctr"/>
        <c:lblOffset val="100"/>
        <c:noMultiLvlLbl val="0"/>
      </c:catAx>
      <c:valAx>
        <c:axId val="917477343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spPr>
          <a:solidFill>
            <a:schemeClr val="bg2"/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47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2">
            <a:lumMod val="5000"/>
            <a:lumOff val="95000"/>
          </a:schemeClr>
        </a:gs>
        <a:gs pos="74000">
          <a:schemeClr val="accent2">
            <a:lumMod val="45000"/>
            <a:lumOff val="55000"/>
          </a:schemeClr>
        </a:gs>
        <a:gs pos="83000">
          <a:schemeClr val="accent2">
            <a:lumMod val="45000"/>
            <a:lumOff val="55000"/>
          </a:schemeClr>
        </a:gs>
        <a:gs pos="100000">
          <a:schemeClr val="accent2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M-O-M (%) change in food category</cx:v>
        </cx:txData>
      </cx:tx>
      <cx:spPr>
        <a:solidFill>
          <a:srgbClr val="FFC000"/>
        </a:solidFill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M-O-M (%) change in food category</a:t>
          </a:r>
        </a:p>
      </cx:txPr>
    </cx:title>
    <cx:plotArea>
      <cx:plotAreaRegion>
        <cx:series layoutId="waterfall" uniqueId="{2FC3B153-2AE9-4DF0-9B45-8077DF2A579A}">
          <cx:tx>
            <cx:txData>
              <cx:f>_xlchart.v1.1</cx:f>
              <cx:v>M-O-M %</cx:v>
            </cx:txData>
          </cx:tx>
          <cx:dataLabels pos="outEnd">
            <cx:numFmt formatCode="0.00%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ln>
                      <a:solidFill>
                        <a:schemeClr val="tx1"/>
                      </a:solidFill>
                    </a:ln>
                    <a:solidFill>
                      <a:schemeClr val="tx1"/>
                    </a:solidFill>
                  </a:defRPr>
                </a:pPr>
                <a:endParaRPr lang="en-US" sz="900" b="0" i="0" u="none" strike="noStrike" baseline="0">
                  <a:ln>
                    <a:solidFill>
                      <a:schemeClr val="tx1"/>
                    </a:solidFill>
                  </a:ln>
                  <a:solidFill>
                    <a:schemeClr val="tx1"/>
                  </a:solidFill>
                  <a:latin typeface="Aptos Narrow" panose="02110004020202020204"/>
                </a:endParaRPr>
              </a:p>
            </cx:txPr>
            <cx:visibility seriesName="0" categoryName="0" value="1"/>
            <cx:separator>; </cx:separator>
          </cx:dataLabels>
          <cx:dataId val="0"/>
          <cx:layoutPr>
            <cx:subtotals/>
          </cx:layoutPr>
        </cx:series>
      </cx:plotAreaRegion>
      <cx:axis id="0">
        <cx:catScaling gapWidth="0.5"/>
        <cx:title>
          <cx:tx>
            <cx:txData>
              <cx:v>Months</cx:v>
            </cx:txData>
          </cx:tx>
          <cx:spPr>
            <a:solidFill>
              <a:srgbClr val="FFC000"/>
            </a:solidFill>
          </cx:spPr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/>
              </a:pPr>
              <a:r>
                <a:rPr lang="en-US" sz="11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Months</a:t>
              </a:r>
            </a:p>
          </cx:txPr>
        </cx:title>
        <cx:tickLabels/>
        <cx:spPr>
          <a:ln>
            <a:noFill/>
          </a:ln>
          <a:effectLst>
            <a:innerShdw blurRad="63500" dist="50800" dir="16200000">
              <a:prstClr val="black">
                <a:alpha val="50000"/>
              </a:prstClr>
            </a:innerShdw>
          </a:effectLst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n>
                  <a:solidFill>
                    <a:schemeClr val="tx1">
                      <a:lumMod val="85000"/>
                      <a:lumOff val="15000"/>
                    </a:schemeClr>
                  </a:solidFill>
                </a:ln>
                <a:solidFill>
                  <a:schemeClr val="accent1">
                    <a:lumMod val="60000"/>
                    <a:lumOff val="40000"/>
                  </a:schemeClr>
                </a:solidFill>
              </a:defRPr>
            </a:pPr>
            <a:endParaRPr lang="en-US" sz="900" b="0" i="0" u="none" strike="noStrike" baseline="0">
              <a:ln>
                <a:solidFill>
                  <a:schemeClr val="tx1">
                    <a:lumMod val="85000"/>
                    <a:lumOff val="15000"/>
                  </a:schemeClr>
                </a:solidFill>
              </a:ln>
              <a:solidFill>
                <a:schemeClr val="accent1">
                  <a:lumMod val="60000"/>
                  <a:lumOff val="40000"/>
                </a:schemeClr>
              </a:solidFill>
              <a:latin typeface="Aptos Narrow" panose="02110004020202020204"/>
            </a:endParaRPr>
          </a:p>
        </cx:txPr>
      </cx:axis>
      <cx:axis id="1">
        <cx:valScaling/>
        <cx:title>
          <cx:tx>
            <cx:txData>
              <cx:v>Inflation rate</cx:v>
            </cx:txData>
          </cx:tx>
          <cx:spPr>
            <a:solidFill>
              <a:srgbClr val="FFC000"/>
            </a:solidFill>
          </cx:spPr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12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Inflation rate</a:t>
              </a:r>
            </a:p>
          </cx:txPr>
        </cx:title>
        <cx:majorGridlines/>
        <cx:tickLabels/>
      </cx:axis>
    </cx:plotArea>
    <cx:legend pos="t" align="ctr" overlay="0"/>
  </cx:chart>
  <cx:spPr>
    <a:gradFill>
      <a:gsLst>
        <a:gs pos="0">
          <a:schemeClr val="accent1">
            <a:lumMod val="5000"/>
            <a:lumOff val="95000"/>
          </a:schemeClr>
        </a:gs>
        <a:gs pos="78000">
          <a:schemeClr val="accent1">
            <a:lumMod val="48000"/>
            <a:lumOff val="52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M-O-M (%) change in food category</cx:v>
        </cx:txData>
      </cx:tx>
      <cx:spPr>
        <a:solidFill>
          <a:srgbClr val="FFC000"/>
        </a:solidFill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M-O-M (%) change in food category</a:t>
          </a:r>
        </a:p>
      </cx:txPr>
    </cx:title>
    <cx:plotArea>
      <cx:plotAreaRegion>
        <cx:series layoutId="waterfall" uniqueId="{2FC3B153-2AE9-4DF0-9B45-8077DF2A579A}">
          <cx:tx>
            <cx:txData>
              <cx:f>_xlchart.v1.4</cx:f>
              <cx:v>M-O-M %</cx:v>
            </cx:txData>
          </cx:tx>
          <cx:dataLabels pos="outEnd">
            <cx:numFmt formatCode="0.00%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ln>
                      <a:solidFill>
                        <a:schemeClr val="tx1"/>
                      </a:solidFill>
                    </a:ln>
                    <a:solidFill>
                      <a:schemeClr val="tx1"/>
                    </a:solidFill>
                  </a:defRPr>
                </a:pPr>
                <a:endParaRPr lang="en-US" sz="900" b="0" i="0" u="none" strike="noStrike" baseline="0">
                  <a:ln>
                    <a:solidFill>
                      <a:schemeClr val="tx1"/>
                    </a:solidFill>
                  </a:ln>
                  <a:solidFill>
                    <a:schemeClr val="tx1"/>
                  </a:solidFill>
                  <a:latin typeface="Aptos Narrow" panose="02110004020202020204"/>
                </a:endParaRPr>
              </a:p>
            </cx:txPr>
            <cx:visibility seriesName="0" categoryName="0" value="1"/>
            <cx:separator>; </cx:separator>
          </cx:dataLabels>
          <cx:dataId val="0"/>
          <cx:layoutPr>
            <cx:subtotals/>
          </cx:layoutPr>
        </cx:series>
      </cx:plotAreaRegion>
      <cx:axis id="0">
        <cx:catScaling gapWidth="0.5"/>
        <cx:title>
          <cx:tx>
            <cx:txData>
              <cx:v>Months</cx:v>
            </cx:txData>
          </cx:tx>
          <cx:spPr>
            <a:solidFill>
              <a:srgbClr val="FFC000"/>
            </a:solidFill>
          </cx:spPr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/>
              </a:pPr>
              <a:r>
                <a:rPr lang="en-US" sz="11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Months</a:t>
              </a:r>
            </a:p>
          </cx:txPr>
        </cx:title>
        <cx:tickLabels/>
        <cx:spPr>
          <a:ln>
            <a:noFill/>
          </a:ln>
          <a:effectLst>
            <a:innerShdw blurRad="63500" dist="50800" dir="16200000">
              <a:prstClr val="black">
                <a:alpha val="50000"/>
              </a:prstClr>
            </a:innerShdw>
          </a:effectLst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n>
                  <a:solidFill>
                    <a:schemeClr val="tx1">
                      <a:lumMod val="85000"/>
                      <a:lumOff val="15000"/>
                    </a:schemeClr>
                  </a:solidFill>
                </a:ln>
                <a:solidFill>
                  <a:schemeClr val="accent1">
                    <a:lumMod val="60000"/>
                    <a:lumOff val="40000"/>
                  </a:schemeClr>
                </a:solidFill>
              </a:defRPr>
            </a:pPr>
            <a:endParaRPr lang="en-US" sz="900" b="0" i="0" u="none" strike="noStrike" baseline="0">
              <a:ln>
                <a:solidFill>
                  <a:schemeClr val="tx1">
                    <a:lumMod val="85000"/>
                    <a:lumOff val="15000"/>
                  </a:schemeClr>
                </a:solidFill>
              </a:ln>
              <a:solidFill>
                <a:schemeClr val="accent1">
                  <a:lumMod val="60000"/>
                  <a:lumOff val="40000"/>
                </a:schemeClr>
              </a:solidFill>
              <a:latin typeface="Aptos Narrow" panose="02110004020202020204"/>
            </a:endParaRPr>
          </a:p>
        </cx:txPr>
      </cx:axis>
      <cx:axis id="1">
        <cx:valScaling/>
        <cx:title>
          <cx:tx>
            <cx:txData>
              <cx:v>Inflation rate</cx:v>
            </cx:txData>
          </cx:tx>
          <cx:spPr>
            <a:solidFill>
              <a:srgbClr val="FFC000"/>
            </a:solidFill>
          </cx:spPr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12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Inflation rate</a:t>
              </a:r>
            </a:p>
          </cx:txPr>
        </cx:title>
        <cx:majorGridlines/>
        <cx:tickLabels/>
      </cx:axis>
    </cx:plotArea>
    <cx:legend pos="t" align="ctr" overlay="0"/>
  </cx:chart>
  <cx:spPr>
    <a:gradFill>
      <a:gsLst>
        <a:gs pos="0">
          <a:schemeClr val="accent1">
            <a:lumMod val="5000"/>
            <a:lumOff val="95000"/>
          </a:schemeClr>
        </a:gs>
        <a:gs pos="78000">
          <a:schemeClr val="accent1">
            <a:lumMod val="48000"/>
            <a:lumOff val="52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7" Type="http://schemas.openxmlformats.org/officeDocument/2006/relationships/chart" Target="../charts/chart14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309563</xdr:colOff>
      <xdr:row>17</xdr:row>
      <xdr:rowOff>164304</xdr:rowOff>
    </xdr:from>
    <xdr:to>
      <xdr:col>11</xdr:col>
      <xdr:colOff>535781</xdr:colOff>
      <xdr:row>51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F7FB81-218E-CBB2-BA87-518D2CF7FE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</xdr:colOff>
      <xdr:row>15</xdr:row>
      <xdr:rowOff>2381</xdr:rowOff>
    </xdr:from>
    <xdr:to>
      <xdr:col>7</xdr:col>
      <xdr:colOff>602456</xdr:colOff>
      <xdr:row>30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95C14D-B599-572A-8D8B-2E9DBB6EF0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340179</xdr:colOff>
      <xdr:row>1</xdr:row>
      <xdr:rowOff>122464</xdr:rowOff>
    </xdr:from>
    <xdr:to>
      <xdr:col>15</xdr:col>
      <xdr:colOff>1809751</xdr:colOff>
      <xdr:row>23</xdr:row>
      <xdr:rowOff>54428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E5EF56A-7D2F-5863-EE4F-28485AF4CE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88139" y="518704"/>
              <a:ext cx="7222672" cy="40010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78620</xdr:colOff>
      <xdr:row>30</xdr:row>
      <xdr:rowOff>19349</xdr:rowOff>
    </xdr:from>
    <xdr:to>
      <xdr:col>15</xdr:col>
      <xdr:colOff>1473199</xdr:colOff>
      <xdr:row>54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E9594F-BF5C-EC18-9B46-9F929458E3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34</xdr:row>
      <xdr:rowOff>47625</xdr:rowOff>
    </xdr:from>
    <xdr:to>
      <xdr:col>6</xdr:col>
      <xdr:colOff>647700</xdr:colOff>
      <xdr:row>48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A4781A-B196-D6D9-7D11-11DF986BDD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585786</xdr:colOff>
      <xdr:row>33</xdr:row>
      <xdr:rowOff>133349</xdr:rowOff>
    </xdr:from>
    <xdr:to>
      <xdr:col>14</xdr:col>
      <xdr:colOff>533400</xdr:colOff>
      <xdr:row>49</xdr:row>
      <xdr:rowOff>66674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F08915C-34CF-149A-D59C-E0C68916F2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228600</xdr:colOff>
      <xdr:row>56</xdr:row>
      <xdr:rowOff>28575</xdr:rowOff>
    </xdr:from>
    <xdr:to>
      <xdr:col>6</xdr:col>
      <xdr:colOff>800100</xdr:colOff>
      <xdr:row>70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F4CB8AA-7C49-E030-1785-2BE046CA04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219075</xdr:colOff>
      <xdr:row>56</xdr:row>
      <xdr:rowOff>0</xdr:rowOff>
    </xdr:from>
    <xdr:to>
      <xdr:col>14</xdr:col>
      <xdr:colOff>581025</xdr:colOff>
      <xdr:row>70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BBDEFEA-8642-4937-99FF-D3E9AAF314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6</xdr:row>
      <xdr:rowOff>114300</xdr:rowOff>
    </xdr:from>
    <xdr:to>
      <xdr:col>11</xdr:col>
      <xdr:colOff>581025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AD56FD-4364-77EF-8E42-80D89DAF48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27</xdr:col>
      <xdr:colOff>15874</xdr:colOff>
      <xdr:row>91</xdr:row>
      <xdr:rowOff>95250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B68B81F-230A-5F03-3E20-C61A8EB4BBC2}"/>
            </a:ext>
          </a:extLst>
        </xdr:cNvPr>
        <xdr:cNvSpPr/>
      </xdr:nvSpPr>
      <xdr:spPr>
        <a:xfrm>
          <a:off x="0" y="0"/>
          <a:ext cx="16303624" cy="1743075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tx2">
              <a:lumMod val="90000"/>
              <a:lumOff val="1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74838</xdr:colOff>
      <xdr:row>1</xdr:row>
      <xdr:rowOff>81644</xdr:rowOff>
    </xdr:from>
    <xdr:to>
      <xdr:col>18</xdr:col>
      <xdr:colOff>539749</xdr:colOff>
      <xdr:row>4</xdr:row>
      <xdr:rowOff>149679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D32A85B-3F01-AD5F-59AC-FD6887470EEB}"/>
            </a:ext>
          </a:extLst>
        </xdr:cNvPr>
        <xdr:cNvSpPr/>
      </xdr:nvSpPr>
      <xdr:spPr>
        <a:xfrm>
          <a:off x="3091088" y="272144"/>
          <a:ext cx="8307161" cy="639535"/>
        </a:xfrm>
        <a:prstGeom prst="roundRect">
          <a:avLst/>
        </a:prstGeom>
        <a:solidFill>
          <a:srgbClr val="FFD13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8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India</a:t>
          </a:r>
          <a:r>
            <a:rPr lang="en-US" sz="28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r>
            <a:rPr lang="en-US" sz="28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CPI</a:t>
          </a:r>
          <a:r>
            <a:rPr lang="en-US" sz="28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r>
            <a:rPr lang="en-US" sz="28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Inflation</a:t>
          </a:r>
          <a:r>
            <a:rPr lang="en-US" sz="28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r>
            <a:rPr lang="en-US" sz="28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Index</a:t>
          </a:r>
          <a:endParaRPr lang="en-US" sz="28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13</xdr:col>
      <xdr:colOff>95250</xdr:colOff>
      <xdr:row>11</xdr:row>
      <xdr:rowOff>119062</xdr:rowOff>
    </xdr:from>
    <xdr:to>
      <xdr:col>22</xdr:col>
      <xdr:colOff>309562</xdr:colOff>
      <xdr:row>26</xdr:row>
      <xdr:rowOff>134937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4953D65-D91B-4BB9-B660-772911B9E1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60324</xdr:colOff>
      <xdr:row>5</xdr:row>
      <xdr:rowOff>165098</xdr:rowOff>
    </xdr:from>
    <xdr:to>
      <xdr:col>12</xdr:col>
      <xdr:colOff>571500</xdr:colOff>
      <xdr:row>32</xdr:row>
      <xdr:rowOff>95249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582DDB-6E7F-4909-BE58-F2B8421F87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381000</xdr:colOff>
      <xdr:row>27</xdr:row>
      <xdr:rowOff>174625</xdr:rowOff>
    </xdr:from>
    <xdr:to>
      <xdr:col>26</xdr:col>
      <xdr:colOff>74840</xdr:colOff>
      <xdr:row>47</xdr:row>
      <xdr:rowOff>111126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213298CF-214E-4ACD-91B9-CBF5A184F3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15400" y="5112385"/>
              <a:ext cx="7009040" cy="35941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31749</xdr:colOff>
      <xdr:row>6</xdr:row>
      <xdr:rowOff>63501</xdr:rowOff>
    </xdr:from>
    <xdr:to>
      <xdr:col>16</xdr:col>
      <xdr:colOff>460374</xdr:colOff>
      <xdr:row>11</xdr:row>
      <xdr:rowOff>127001</xdr:rowOff>
    </xdr:to>
    <xdr:sp macro="" textlink="">
      <xdr:nvSpPr>
        <xdr:cNvPr id="12" name="Scroll: Horizontal 11">
          <a:extLst>
            <a:ext uri="{FF2B5EF4-FFF2-40B4-BE49-F238E27FC236}">
              <a16:creationId xmlns:a16="http://schemas.microsoft.com/office/drawing/2014/main" id="{61408B15-A481-DFE8-60D7-4858E9BF4EB2}"/>
            </a:ext>
          </a:extLst>
        </xdr:cNvPr>
        <xdr:cNvSpPr/>
      </xdr:nvSpPr>
      <xdr:spPr>
        <a:xfrm>
          <a:off x="7270749" y="1206501"/>
          <a:ext cx="2841625" cy="1016000"/>
        </a:xfrm>
        <a:prstGeom prst="horizontalScroll">
          <a:avLst/>
        </a:prstGeom>
        <a:solidFill>
          <a:srgbClr val="FFFF66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Food category have highest inflation which is 49.56% in May, 2023(</a:t>
          </a:r>
          <a:r>
            <a:rPr lang="en-US" sz="1400" b="1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Latest month Inflation)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444500</xdr:colOff>
      <xdr:row>2</xdr:row>
      <xdr:rowOff>0</xdr:rowOff>
    </xdr:from>
    <xdr:to>
      <xdr:col>26</xdr:col>
      <xdr:colOff>454025</xdr:colOff>
      <xdr:row>8</xdr:row>
      <xdr:rowOff>15875</xdr:rowOff>
    </xdr:to>
    <xdr:sp macro="" textlink="">
      <xdr:nvSpPr>
        <xdr:cNvPr id="13" name="Callout: Bent Line with Accent Bar 12">
          <a:extLst>
            <a:ext uri="{FF2B5EF4-FFF2-40B4-BE49-F238E27FC236}">
              <a16:creationId xmlns:a16="http://schemas.microsoft.com/office/drawing/2014/main" id="{29737F42-6B10-B872-9DFB-9E7BC7B616D7}"/>
            </a:ext>
          </a:extLst>
        </xdr:cNvPr>
        <xdr:cNvSpPr/>
      </xdr:nvSpPr>
      <xdr:spPr>
        <a:xfrm>
          <a:off x="12509500" y="381000"/>
          <a:ext cx="3629025" cy="1158875"/>
        </a:xfrm>
        <a:prstGeom prst="accentCallout2">
          <a:avLst>
            <a:gd name="adj1" fmla="val 18750"/>
            <a:gd name="adj2" fmla="val -8333"/>
            <a:gd name="adj3" fmla="val 18750"/>
            <a:gd name="adj4" fmla="val -16667"/>
            <a:gd name="adj5" fmla="val 147425"/>
            <a:gd name="adj6" fmla="val -32503"/>
          </a:avLst>
        </a:prstGeom>
        <a:solidFill>
          <a:srgbClr val="FFFF66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As graph is depicting hieghest inflation in year 2019 with 7.18% increment.</a:t>
          </a:r>
          <a:r>
            <a:rPr lang="en-US" sz="1600" b="1">
              <a:solidFill>
                <a:schemeClr val="tx1"/>
              </a:solidFill>
              <a:effectLst/>
            </a:rPr>
            <a:t> </a:t>
          </a:r>
          <a:r>
            <a:rPr lang="en-US" sz="16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600" b="1">
              <a:solidFill>
                <a:schemeClr val="tx1"/>
              </a:solidFill>
              <a:effectLst/>
            </a:rPr>
            <a:t> </a:t>
          </a:r>
          <a:r>
            <a:rPr lang="en-US" sz="16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600" b="1">
              <a:solidFill>
                <a:schemeClr val="tx1"/>
              </a:solidFill>
              <a:effectLst/>
            </a:rPr>
            <a:t> </a:t>
          </a:r>
          <a:r>
            <a:rPr lang="en-US" sz="16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600" b="1">
              <a:solidFill>
                <a:schemeClr val="tx1"/>
              </a:solidFill>
              <a:effectLst/>
            </a:rPr>
            <a:t> </a:t>
          </a:r>
          <a:r>
            <a:rPr lang="en-US" sz="16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600" b="1">
              <a:solidFill>
                <a:schemeClr val="tx1"/>
              </a:solidFill>
              <a:effectLst/>
            </a:rPr>
            <a:t> </a:t>
          </a:r>
          <a:r>
            <a:rPr lang="en-US" sz="16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600" b="1">
              <a:solidFill>
                <a:schemeClr val="tx1"/>
              </a:solidFill>
              <a:effectLst/>
            </a:rPr>
            <a:t> </a:t>
          </a:r>
          <a:r>
            <a:rPr lang="en-US" sz="16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600" b="1">
              <a:solidFill>
                <a:schemeClr val="tx1"/>
              </a:solidFill>
              <a:effectLst/>
            </a:rPr>
            <a:t> </a:t>
          </a:r>
        </a:p>
        <a:p>
          <a:pPr algn="l"/>
          <a:r>
            <a:rPr lang="en-US" sz="16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Reason: Due to 10.99% increment in Food category</a:t>
          </a:r>
          <a:r>
            <a:rPr lang="en-US" sz="1600" b="1">
              <a:solidFill>
                <a:schemeClr val="tx1"/>
              </a:solidFill>
              <a:effectLst/>
            </a:rPr>
            <a:t> </a:t>
          </a:r>
          <a:endParaRPr 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22</xdr:col>
      <xdr:colOff>460376</xdr:colOff>
      <xdr:row>20</xdr:row>
      <xdr:rowOff>15874</xdr:rowOff>
    </xdr:from>
    <xdr:to>
      <xdr:col>27</xdr:col>
      <xdr:colOff>15876</xdr:colOff>
      <xdr:row>30</xdr:row>
      <xdr:rowOff>15875</xdr:rowOff>
    </xdr:to>
    <xdr:sp macro="" textlink="">
      <xdr:nvSpPr>
        <xdr:cNvPr id="14" name="Speech Bubble: Oval 13">
          <a:extLst>
            <a:ext uri="{FF2B5EF4-FFF2-40B4-BE49-F238E27FC236}">
              <a16:creationId xmlns:a16="http://schemas.microsoft.com/office/drawing/2014/main" id="{4A7F3CAE-9ADD-0C4A-BF9C-852DC969D6DD}"/>
            </a:ext>
          </a:extLst>
        </xdr:cNvPr>
        <xdr:cNvSpPr/>
      </xdr:nvSpPr>
      <xdr:spPr>
        <a:xfrm>
          <a:off x="13731876" y="3825874"/>
          <a:ext cx="2571750" cy="1905001"/>
        </a:xfrm>
        <a:prstGeom prst="wedgeEllipseCallout">
          <a:avLst/>
        </a:prstGeom>
        <a:solidFill>
          <a:srgbClr val="FFFF66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In May,2023  observed that grew inflation 0.74 % over the year </a:t>
          </a:r>
          <a:r>
            <a:rPr lang="en-US" sz="1200" b="1">
              <a:effectLst/>
            </a:rPr>
            <a:t> </a:t>
          </a:r>
        </a:p>
        <a:p>
          <a:pPr marL="0" indent="0" algn="l"/>
          <a:r>
            <a:rPr lang="en-US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In dec,2022 fall 0.62% which significantly effect on inflation</a:t>
          </a:r>
          <a:r>
            <a:rPr lang="en-US" sz="1200" b="1">
              <a:effectLst/>
            </a:rPr>
            <a:t> </a:t>
          </a:r>
          <a:endParaRPr lang="en-US" sz="1200" b="1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222250</xdr:colOff>
      <xdr:row>33</xdr:row>
      <xdr:rowOff>111125</xdr:rowOff>
    </xdr:from>
    <xdr:to>
      <xdr:col>10</xdr:col>
      <xdr:colOff>127000</xdr:colOff>
      <xdr:row>64</xdr:row>
      <xdr:rowOff>79375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53D2B5A-A2B0-462B-92E2-5C80E63C12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126999</xdr:colOff>
      <xdr:row>32</xdr:row>
      <xdr:rowOff>79375</xdr:rowOff>
    </xdr:from>
    <xdr:to>
      <xdr:col>14</xdr:col>
      <xdr:colOff>381000</xdr:colOff>
      <xdr:row>44</xdr:row>
      <xdr:rowOff>79375</xdr:rowOff>
    </xdr:to>
    <xdr:sp macro="" textlink="">
      <xdr:nvSpPr>
        <xdr:cNvPr id="16" name="Scroll: Horizontal 15">
          <a:extLst>
            <a:ext uri="{FF2B5EF4-FFF2-40B4-BE49-F238E27FC236}">
              <a16:creationId xmlns:a16="http://schemas.microsoft.com/office/drawing/2014/main" id="{FE93C306-FDAF-96B4-8983-5279C1D69F8A}"/>
            </a:ext>
          </a:extLst>
        </xdr:cNvPr>
        <xdr:cNvSpPr/>
      </xdr:nvSpPr>
      <xdr:spPr>
        <a:xfrm>
          <a:off x="5556249" y="6175375"/>
          <a:ext cx="3270251" cy="2286000"/>
        </a:xfrm>
        <a:prstGeom prst="horizontalScroll">
          <a:avLst/>
        </a:prstGeom>
        <a:solidFill>
          <a:srgbClr val="FFFF66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* Spices that are more contribution towards CPI in food category which is 16.52 %</a:t>
          </a:r>
        </a:p>
        <a:p>
          <a:pPr marL="0" indent="0" algn="l"/>
          <a:r>
            <a:rPr lang="en-US" sz="1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* On second hand, oil and fats which decreases the inflation -15.38% </a:t>
          </a:r>
        </a:p>
      </xdr:txBody>
    </xdr:sp>
    <xdr:clientData/>
  </xdr:twoCellAnchor>
  <xdr:twoCellAnchor>
    <xdr:from>
      <xdr:col>10</xdr:col>
      <xdr:colOff>349250</xdr:colOff>
      <xdr:row>48</xdr:row>
      <xdr:rowOff>79375</xdr:rowOff>
    </xdr:from>
    <xdr:to>
      <xdr:col>20</xdr:col>
      <xdr:colOff>254000</xdr:colOff>
      <xdr:row>66</xdr:row>
      <xdr:rowOff>15875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7DEA263-2FE7-48ED-A21E-B14ADD4DA6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269874</xdr:colOff>
      <xdr:row>49</xdr:row>
      <xdr:rowOff>95250</xdr:rowOff>
    </xdr:from>
    <xdr:to>
      <xdr:col>26</xdr:col>
      <xdr:colOff>95249</xdr:colOff>
      <xdr:row>54</xdr:row>
      <xdr:rowOff>176022</xdr:rowOff>
    </xdr:to>
    <xdr:sp macro="" textlink="">
      <xdr:nvSpPr>
        <xdr:cNvPr id="18" name="Scroll: Horizontal 17">
          <a:extLst>
            <a:ext uri="{FF2B5EF4-FFF2-40B4-BE49-F238E27FC236}">
              <a16:creationId xmlns:a16="http://schemas.microsoft.com/office/drawing/2014/main" id="{739C5ABC-B8F8-28EC-A3D1-80865FB4591A}"/>
            </a:ext>
          </a:extLst>
        </xdr:cNvPr>
        <xdr:cNvSpPr/>
      </xdr:nvSpPr>
      <xdr:spPr>
        <a:xfrm>
          <a:off x="12334874" y="9429750"/>
          <a:ext cx="3444875" cy="1033272"/>
        </a:xfrm>
        <a:prstGeom prst="horizontalScroll">
          <a:avLst/>
        </a:prstGeom>
        <a:solidFill>
          <a:srgbClr val="FFFF66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Meat and fish, oil and fats showing moderate strength with crude oil </a:t>
          </a:r>
        </a:p>
      </xdr:txBody>
    </xdr:sp>
    <xdr:clientData/>
  </xdr:twoCellAnchor>
  <xdr:twoCellAnchor>
    <xdr:from>
      <xdr:col>0</xdr:col>
      <xdr:colOff>206375</xdr:colOff>
      <xdr:row>67</xdr:row>
      <xdr:rowOff>47626</xdr:rowOff>
    </xdr:from>
    <xdr:to>
      <xdr:col>8</xdr:col>
      <xdr:colOff>555624</xdr:colOff>
      <xdr:row>89</xdr:row>
      <xdr:rowOff>158750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48D49197-3338-41D9-8BBC-8E896A4835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254000</xdr:colOff>
      <xdr:row>66</xdr:row>
      <xdr:rowOff>142875</xdr:rowOff>
    </xdr:from>
    <xdr:to>
      <xdr:col>26</xdr:col>
      <xdr:colOff>444499</xdr:colOff>
      <xdr:row>88</xdr:row>
      <xdr:rowOff>174625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AB9ECF9B-7C1D-45A9-918A-8FCA92AF1E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253999</xdr:colOff>
      <xdr:row>66</xdr:row>
      <xdr:rowOff>174625</xdr:rowOff>
    </xdr:from>
    <xdr:to>
      <xdr:col>17</xdr:col>
      <xdr:colOff>47624</xdr:colOff>
      <xdr:row>83</xdr:row>
      <xdr:rowOff>127000</xdr:rowOff>
    </xdr:to>
    <xdr:sp macro="" textlink="">
      <xdr:nvSpPr>
        <xdr:cNvPr id="21" name="Scroll: Horizontal 20">
          <a:extLst>
            <a:ext uri="{FF2B5EF4-FFF2-40B4-BE49-F238E27FC236}">
              <a16:creationId xmlns:a16="http://schemas.microsoft.com/office/drawing/2014/main" id="{4073F12A-3CBB-F52A-806E-3D9B3B10758C}"/>
            </a:ext>
          </a:extLst>
        </xdr:cNvPr>
        <xdr:cNvSpPr/>
      </xdr:nvSpPr>
      <xdr:spPr>
        <a:xfrm>
          <a:off x="5683249" y="12747625"/>
          <a:ext cx="4619625" cy="3190875"/>
        </a:xfrm>
        <a:prstGeom prst="horizontalScroll">
          <a:avLst/>
        </a:prstGeom>
        <a:solidFill>
          <a:srgbClr val="FFFF66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Healthcare (Health): There is a noticeable increase in the CPI for healthcare each year, with a significant jump from 2019 to 2020. This suggests a substantial impact of the pandemic on healthcare costs.</a:t>
          </a:r>
        </a:p>
        <a:p>
          <a:pPr marL="0" indent="0" algn="l"/>
          <a:br>
            <a:rPr lang="en-US" sz="1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Food and Beverages: The CPI for food and beverages shows some decrease over these years, and possibly disrupted supply chains of food items during the pandemic.</a:t>
          </a:r>
          <a:br>
            <a:rPr lang="en-US" sz="1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endParaRPr lang="en-US" sz="1400" b="1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14173-6035-40A7-A6D4-98CD5A72B043}">
  <dimension ref="A1:AD373"/>
  <sheetViews>
    <sheetView topLeftCell="H1" workbookViewId="0">
      <selection activeCell="B2" sqref="B2"/>
    </sheetView>
  </sheetViews>
  <sheetFormatPr defaultRowHeight="14.4" x14ac:dyDescent="0.3"/>
  <cols>
    <col min="1" max="1" width="9.6640625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t="s">
        <v>32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</row>
    <row r="3" spans="1:30" x14ac:dyDescent="0.3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>
        <v>100.3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</row>
    <row r="4" spans="1:30" x14ac:dyDescent="0.3">
      <c r="A4" t="s">
        <v>34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>
        <v>100.3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</row>
    <row r="5" spans="1:30" x14ac:dyDescent="0.3">
      <c r="A5" t="s">
        <v>30</v>
      </c>
      <c r="B5">
        <v>2013</v>
      </c>
      <c r="C5" t="s">
        <v>35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 t="s">
        <v>32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</row>
    <row r="6" spans="1:30" x14ac:dyDescent="0.3">
      <c r="A6" t="s">
        <v>33</v>
      </c>
      <c r="B6">
        <v>2013</v>
      </c>
      <c r="C6" t="s">
        <v>35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>
        <v>100.4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</row>
    <row r="7" spans="1:30" x14ac:dyDescent="0.3">
      <c r="A7" t="s">
        <v>34</v>
      </c>
      <c r="B7">
        <v>2013</v>
      </c>
      <c r="C7" t="s">
        <v>35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>
        <v>100.4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</row>
    <row r="8" spans="1:30" x14ac:dyDescent="0.3">
      <c r="A8" t="s">
        <v>30</v>
      </c>
      <c r="B8">
        <v>2013</v>
      </c>
      <c r="C8" t="s">
        <v>36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 t="s">
        <v>32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</row>
    <row r="9" spans="1:30" x14ac:dyDescent="0.3">
      <c r="A9" t="s">
        <v>33</v>
      </c>
      <c r="B9">
        <v>2013</v>
      </c>
      <c r="C9" t="s">
        <v>36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>
        <v>100.4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</row>
    <row r="10" spans="1:30" x14ac:dyDescent="0.3">
      <c r="A10" t="s">
        <v>34</v>
      </c>
      <c r="B10">
        <v>2013</v>
      </c>
      <c r="C10" t="s">
        <v>36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>
        <v>100.4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</row>
    <row r="11" spans="1:30" x14ac:dyDescent="0.3">
      <c r="A11" t="s">
        <v>30</v>
      </c>
      <c r="B11">
        <v>2013</v>
      </c>
      <c r="C11" t="s">
        <v>37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 t="s">
        <v>32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</row>
    <row r="12" spans="1:30" x14ac:dyDescent="0.3">
      <c r="A12" t="s">
        <v>33</v>
      </c>
      <c r="B12">
        <v>2013</v>
      </c>
      <c r="C12" t="s">
        <v>37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>
        <v>100.5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</row>
    <row r="13" spans="1:30" x14ac:dyDescent="0.3">
      <c r="A13" t="s">
        <v>34</v>
      </c>
      <c r="B13">
        <v>2013</v>
      </c>
      <c r="C13" t="s">
        <v>37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>
        <v>100.5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</row>
    <row r="14" spans="1:30" x14ac:dyDescent="0.3">
      <c r="A14" t="s">
        <v>30</v>
      </c>
      <c r="B14">
        <v>2013</v>
      </c>
      <c r="C14" t="s">
        <v>38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 t="s">
        <v>32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</row>
    <row r="15" spans="1:30" x14ac:dyDescent="0.3">
      <c r="A15" t="s">
        <v>33</v>
      </c>
      <c r="B15">
        <v>2013</v>
      </c>
      <c r="C15" t="s">
        <v>38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>
        <v>100.5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</row>
    <row r="16" spans="1:30" x14ac:dyDescent="0.3">
      <c r="A16" t="s">
        <v>34</v>
      </c>
      <c r="B16">
        <v>2013</v>
      </c>
      <c r="C16" t="s">
        <v>38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>
        <v>100.5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</row>
    <row r="17" spans="1:30" x14ac:dyDescent="0.3">
      <c r="A17" t="s">
        <v>30</v>
      </c>
      <c r="B17">
        <v>2013</v>
      </c>
      <c r="C17" t="s">
        <v>39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 t="s">
        <v>32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</row>
    <row r="18" spans="1:30" x14ac:dyDescent="0.3">
      <c r="A18" t="s">
        <v>33</v>
      </c>
      <c r="B18">
        <v>2013</v>
      </c>
      <c r="C18" t="s">
        <v>39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>
        <v>106.6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</row>
    <row r="19" spans="1:30" x14ac:dyDescent="0.3">
      <c r="A19" t="s">
        <v>34</v>
      </c>
      <c r="B19">
        <v>2013</v>
      </c>
      <c r="C19" t="s">
        <v>39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>
        <v>106.6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</row>
    <row r="20" spans="1:30" x14ac:dyDescent="0.3">
      <c r="A20" t="s">
        <v>30</v>
      </c>
      <c r="B20">
        <v>2013</v>
      </c>
      <c r="C20" t="s">
        <v>40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 t="s">
        <v>32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</row>
    <row r="21" spans="1:30" x14ac:dyDescent="0.3">
      <c r="A21" t="s">
        <v>33</v>
      </c>
      <c r="B21">
        <v>2013</v>
      </c>
      <c r="C21" t="s">
        <v>40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>
        <v>107.7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</row>
    <row r="22" spans="1:30" x14ac:dyDescent="0.3">
      <c r="A22" t="s">
        <v>34</v>
      </c>
      <c r="B22">
        <v>2013</v>
      </c>
      <c r="C22" t="s">
        <v>40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>
        <v>107.7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</row>
    <row r="23" spans="1:30" x14ac:dyDescent="0.3">
      <c r="A23" t="s">
        <v>30</v>
      </c>
      <c r="B23">
        <v>2013</v>
      </c>
      <c r="C23" t="s">
        <v>41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 t="s">
        <v>32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</row>
    <row r="24" spans="1:30" x14ac:dyDescent="0.3">
      <c r="A24" t="s">
        <v>33</v>
      </c>
      <c r="B24">
        <v>2013</v>
      </c>
      <c r="C24" t="s">
        <v>41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>
        <v>108.9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</row>
    <row r="25" spans="1:30" x14ac:dyDescent="0.3">
      <c r="A25" t="s">
        <v>34</v>
      </c>
      <c r="B25">
        <v>2013</v>
      </c>
      <c r="C25" t="s">
        <v>41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>
        <v>108.9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</row>
    <row r="26" spans="1:30" x14ac:dyDescent="0.3">
      <c r="A26" t="s">
        <v>30</v>
      </c>
      <c r="B26">
        <v>2013</v>
      </c>
      <c r="C26" t="s">
        <v>42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 t="s">
        <v>32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</row>
    <row r="27" spans="1:30" x14ac:dyDescent="0.3">
      <c r="A27" t="s">
        <v>33</v>
      </c>
      <c r="B27">
        <v>2013</v>
      </c>
      <c r="C27" t="s">
        <v>42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>
        <v>109.7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</row>
    <row r="28" spans="1:30" x14ac:dyDescent="0.3">
      <c r="A28" t="s">
        <v>34</v>
      </c>
      <c r="B28">
        <v>2013</v>
      </c>
      <c r="C28" t="s">
        <v>42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>
        <v>109.7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</row>
    <row r="29" spans="1:30" x14ac:dyDescent="0.3">
      <c r="A29" t="s">
        <v>30</v>
      </c>
      <c r="B29">
        <v>2013</v>
      </c>
      <c r="C29" t="s">
        <v>43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 t="s">
        <v>32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</row>
    <row r="30" spans="1:30" x14ac:dyDescent="0.3">
      <c r="A30" t="s">
        <v>33</v>
      </c>
      <c r="B30">
        <v>2013</v>
      </c>
      <c r="C30" t="s">
        <v>43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>
        <v>110.5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</row>
    <row r="31" spans="1:30" x14ac:dyDescent="0.3">
      <c r="A31" t="s">
        <v>34</v>
      </c>
      <c r="B31">
        <v>2013</v>
      </c>
      <c r="C31" t="s">
        <v>43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>
        <v>110.5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</row>
    <row r="32" spans="1:30" x14ac:dyDescent="0.3">
      <c r="A32" t="s">
        <v>30</v>
      </c>
      <c r="B32">
        <v>2013</v>
      </c>
      <c r="C32" t="s">
        <v>44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 t="s">
        <v>32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</row>
    <row r="33" spans="1:30" x14ac:dyDescent="0.3">
      <c r="A33" t="s">
        <v>33</v>
      </c>
      <c r="B33">
        <v>2013</v>
      </c>
      <c r="C33" t="s">
        <v>45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>
        <v>111.1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</row>
    <row r="34" spans="1:30" x14ac:dyDescent="0.3">
      <c r="A34" t="s">
        <v>34</v>
      </c>
      <c r="B34">
        <v>2013</v>
      </c>
      <c r="C34" t="s">
        <v>45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>
        <v>111.1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</row>
    <row r="35" spans="1:30" x14ac:dyDescent="0.3">
      <c r="A35" t="s">
        <v>30</v>
      </c>
      <c r="B35">
        <v>2013</v>
      </c>
      <c r="C35" t="s">
        <v>46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 t="s">
        <v>32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</row>
    <row r="36" spans="1:30" x14ac:dyDescent="0.3">
      <c r="A36" t="s">
        <v>33</v>
      </c>
      <c r="B36">
        <v>2013</v>
      </c>
      <c r="C36" t="s">
        <v>46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>
        <v>110.7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</row>
    <row r="37" spans="1:30" x14ac:dyDescent="0.3">
      <c r="A37" t="s">
        <v>34</v>
      </c>
      <c r="B37">
        <v>2013</v>
      </c>
      <c r="C37" t="s">
        <v>46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>
        <v>110.7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</row>
    <row r="38" spans="1:30" x14ac:dyDescent="0.3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 t="s">
        <v>32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</row>
    <row r="39" spans="1:30" x14ac:dyDescent="0.3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>
        <v>111.6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</row>
    <row r="40" spans="1:30" x14ac:dyDescent="0.3">
      <c r="A40" t="s">
        <v>34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>
        <v>111.6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</row>
    <row r="41" spans="1:30" x14ac:dyDescent="0.3">
      <c r="A41" t="s">
        <v>30</v>
      </c>
      <c r="B41">
        <v>2014</v>
      </c>
      <c r="C41" t="s">
        <v>35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 t="s">
        <v>32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</row>
    <row r="42" spans="1:30" x14ac:dyDescent="0.3">
      <c r="A42" t="s">
        <v>33</v>
      </c>
      <c r="B42">
        <v>2014</v>
      </c>
      <c r="C42" t="s">
        <v>35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>
        <v>112.5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</row>
    <row r="43" spans="1:30" x14ac:dyDescent="0.3">
      <c r="A43" t="s">
        <v>34</v>
      </c>
      <c r="B43">
        <v>2014</v>
      </c>
      <c r="C43" t="s">
        <v>35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>
        <v>112.5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</row>
    <row r="44" spans="1:30" x14ac:dyDescent="0.3">
      <c r="A44" t="s">
        <v>30</v>
      </c>
      <c r="B44">
        <v>2014</v>
      </c>
      <c r="C44" t="s">
        <v>36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 t="s">
        <v>32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</row>
    <row r="45" spans="1:30" x14ac:dyDescent="0.3">
      <c r="A45" t="s">
        <v>33</v>
      </c>
      <c r="B45">
        <v>2014</v>
      </c>
      <c r="C45" t="s">
        <v>36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>
        <v>113.2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</row>
    <row r="46" spans="1:30" x14ac:dyDescent="0.3">
      <c r="A46" t="s">
        <v>34</v>
      </c>
      <c r="B46">
        <v>2014</v>
      </c>
      <c r="C46" t="s">
        <v>47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>
        <v>113.2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</row>
    <row r="47" spans="1:30" x14ac:dyDescent="0.3">
      <c r="A47" t="s">
        <v>30</v>
      </c>
      <c r="B47">
        <v>2014</v>
      </c>
      <c r="C47" t="s">
        <v>37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 t="s">
        <v>32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</row>
    <row r="48" spans="1:30" x14ac:dyDescent="0.3">
      <c r="A48" t="s">
        <v>33</v>
      </c>
      <c r="B48">
        <v>2014</v>
      </c>
      <c r="C48" t="s">
        <v>37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>
        <v>113.9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</row>
    <row r="49" spans="1:30" x14ac:dyDescent="0.3">
      <c r="A49" t="s">
        <v>34</v>
      </c>
      <c r="B49">
        <v>2014</v>
      </c>
      <c r="C49" t="s">
        <v>37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>
        <v>113.9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</row>
    <row r="50" spans="1:30" x14ac:dyDescent="0.3">
      <c r="A50" t="s">
        <v>30</v>
      </c>
      <c r="B50">
        <v>2014</v>
      </c>
      <c r="C50" t="s">
        <v>38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 t="s">
        <v>32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</row>
    <row r="51" spans="1:30" x14ac:dyDescent="0.3">
      <c r="A51" t="s">
        <v>33</v>
      </c>
      <c r="B51">
        <v>2014</v>
      </c>
      <c r="C51" t="s">
        <v>38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>
        <v>114.3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</row>
    <row r="52" spans="1:30" x14ac:dyDescent="0.3">
      <c r="A52" t="s">
        <v>34</v>
      </c>
      <c r="B52">
        <v>2014</v>
      </c>
      <c r="C52" t="s">
        <v>38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>
        <v>114.3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</row>
    <row r="53" spans="1:30" x14ac:dyDescent="0.3">
      <c r="A53" t="s">
        <v>30</v>
      </c>
      <c r="B53">
        <v>2014</v>
      </c>
      <c r="C53" t="s">
        <v>39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 t="s">
        <v>32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</row>
    <row r="54" spans="1:30" x14ac:dyDescent="0.3">
      <c r="A54" t="s">
        <v>33</v>
      </c>
      <c r="B54">
        <v>2014</v>
      </c>
      <c r="C54" t="s">
        <v>39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>
        <v>113.9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</row>
    <row r="55" spans="1:30" x14ac:dyDescent="0.3">
      <c r="A55" t="s">
        <v>34</v>
      </c>
      <c r="B55">
        <v>2014</v>
      </c>
      <c r="C55" t="s">
        <v>39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>
        <v>113.9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</row>
    <row r="56" spans="1:30" x14ac:dyDescent="0.3">
      <c r="A56" t="s">
        <v>30</v>
      </c>
      <c r="B56">
        <v>2014</v>
      </c>
      <c r="C56" t="s">
        <v>40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 t="s">
        <v>32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</row>
    <row r="57" spans="1:30" x14ac:dyDescent="0.3">
      <c r="A57" t="s">
        <v>33</v>
      </c>
      <c r="B57">
        <v>2014</v>
      </c>
      <c r="C57" t="s">
        <v>40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>
        <v>114.8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</row>
    <row r="58" spans="1:30" x14ac:dyDescent="0.3">
      <c r="A58" t="s">
        <v>34</v>
      </c>
      <c r="B58">
        <v>2014</v>
      </c>
      <c r="C58" t="s">
        <v>40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>
        <v>114.8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</row>
    <row r="59" spans="1:30" x14ac:dyDescent="0.3">
      <c r="A59" t="s">
        <v>30</v>
      </c>
      <c r="B59">
        <v>2014</v>
      </c>
      <c r="C59" t="s">
        <v>41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 t="s">
        <v>32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</row>
    <row r="60" spans="1:30" x14ac:dyDescent="0.3">
      <c r="A60" t="s">
        <v>33</v>
      </c>
      <c r="B60">
        <v>2014</v>
      </c>
      <c r="C60" t="s">
        <v>41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>
        <v>115.5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</row>
    <row r="61" spans="1:30" x14ac:dyDescent="0.3">
      <c r="A61" t="s">
        <v>34</v>
      </c>
      <c r="B61">
        <v>2014</v>
      </c>
      <c r="C61" t="s">
        <v>41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>
        <v>115.5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</row>
    <row r="62" spans="1:30" x14ac:dyDescent="0.3">
      <c r="A62" t="s">
        <v>30</v>
      </c>
      <c r="B62">
        <v>2014</v>
      </c>
      <c r="C62" t="s">
        <v>42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 t="s">
        <v>32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</row>
    <row r="63" spans="1:30" x14ac:dyDescent="0.3">
      <c r="A63" t="s">
        <v>33</v>
      </c>
      <c r="B63">
        <v>2014</v>
      </c>
      <c r="C63" t="s">
        <v>42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>
        <v>116.1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</row>
    <row r="64" spans="1:30" x14ac:dyDescent="0.3">
      <c r="A64" t="s">
        <v>34</v>
      </c>
      <c r="B64">
        <v>2014</v>
      </c>
      <c r="C64" t="s">
        <v>42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>
        <v>116.1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</row>
    <row r="65" spans="1:30" x14ac:dyDescent="0.3">
      <c r="A65" t="s">
        <v>30</v>
      </c>
      <c r="B65">
        <v>2014</v>
      </c>
      <c r="C65" t="s">
        <v>43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 t="s">
        <v>32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</row>
    <row r="66" spans="1:30" x14ac:dyDescent="0.3">
      <c r="A66" t="s">
        <v>33</v>
      </c>
      <c r="B66">
        <v>2014</v>
      </c>
      <c r="C66" t="s">
        <v>43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>
        <v>116.7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</row>
    <row r="67" spans="1:30" x14ac:dyDescent="0.3">
      <c r="A67" t="s">
        <v>34</v>
      </c>
      <c r="B67">
        <v>2014</v>
      </c>
      <c r="C67" t="s">
        <v>43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>
        <v>116.7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</row>
    <row r="68" spans="1:30" x14ac:dyDescent="0.3">
      <c r="A68" t="s">
        <v>30</v>
      </c>
      <c r="B68">
        <v>2014</v>
      </c>
      <c r="C68" t="s">
        <v>45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 t="s">
        <v>32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</row>
    <row r="69" spans="1:30" x14ac:dyDescent="0.3">
      <c r="A69" t="s">
        <v>33</v>
      </c>
      <c r="B69">
        <v>2014</v>
      </c>
      <c r="C69" t="s">
        <v>45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>
        <v>117.1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</row>
    <row r="70" spans="1:30" x14ac:dyDescent="0.3">
      <c r="A70" t="s">
        <v>34</v>
      </c>
      <c r="B70">
        <v>2014</v>
      </c>
      <c r="C70" t="s">
        <v>45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>
        <v>117.1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</row>
    <row r="71" spans="1:30" x14ac:dyDescent="0.3">
      <c r="A71" t="s">
        <v>30</v>
      </c>
      <c r="B71">
        <v>2014</v>
      </c>
      <c r="C71" t="s">
        <v>46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 t="s">
        <v>32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</row>
    <row r="72" spans="1:30" x14ac:dyDescent="0.3">
      <c r="A72" t="s">
        <v>33</v>
      </c>
      <c r="B72">
        <v>2014</v>
      </c>
      <c r="C72" t="s">
        <v>46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>
        <v>116.5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</row>
    <row r="73" spans="1:30" x14ac:dyDescent="0.3">
      <c r="A73" t="s">
        <v>34</v>
      </c>
      <c r="B73">
        <v>2014</v>
      </c>
      <c r="C73" t="s">
        <v>46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>
        <v>116.5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</row>
    <row r="74" spans="1:30" x14ac:dyDescent="0.3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 t="s">
        <v>32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</row>
    <row r="75" spans="1:30" x14ac:dyDescent="0.3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>
        <v>117.3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</row>
    <row r="76" spans="1:30" x14ac:dyDescent="0.3">
      <c r="A76" t="s">
        <v>34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>
        <v>117.3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</row>
    <row r="77" spans="1:30" x14ac:dyDescent="0.3">
      <c r="A77" t="s">
        <v>30</v>
      </c>
      <c r="B77">
        <v>2015</v>
      </c>
      <c r="C77" t="s">
        <v>35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 t="s">
        <v>32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</row>
    <row r="78" spans="1:30" x14ac:dyDescent="0.3">
      <c r="A78" t="s">
        <v>33</v>
      </c>
      <c r="B78">
        <v>2015</v>
      </c>
      <c r="C78" t="s">
        <v>35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>
        <v>118.1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</row>
    <row r="79" spans="1:30" x14ac:dyDescent="0.3">
      <c r="A79" t="s">
        <v>34</v>
      </c>
      <c r="B79">
        <v>2015</v>
      </c>
      <c r="C79" t="s">
        <v>35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>
        <v>118.1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</row>
    <row r="80" spans="1:30" x14ac:dyDescent="0.3">
      <c r="A80" t="s">
        <v>30</v>
      </c>
      <c r="B80">
        <v>2015</v>
      </c>
      <c r="C80" t="s">
        <v>36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 t="s">
        <v>32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</row>
    <row r="81" spans="1:30" x14ac:dyDescent="0.3">
      <c r="A81" t="s">
        <v>33</v>
      </c>
      <c r="B81">
        <v>2015</v>
      </c>
      <c r="C81" t="s">
        <v>36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>
        <v>118.6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</row>
    <row r="82" spans="1:30" x14ac:dyDescent="0.3">
      <c r="A82" t="s">
        <v>34</v>
      </c>
      <c r="B82">
        <v>2015</v>
      </c>
      <c r="C82" t="s">
        <v>36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>
        <v>118.6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</row>
    <row r="83" spans="1:30" x14ac:dyDescent="0.3">
      <c r="A83" t="s">
        <v>30</v>
      </c>
      <c r="B83">
        <v>2015</v>
      </c>
      <c r="C83" t="s">
        <v>37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 t="s">
        <v>32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</row>
    <row r="84" spans="1:30" x14ac:dyDescent="0.3">
      <c r="A84" t="s">
        <v>33</v>
      </c>
      <c r="B84">
        <v>2015</v>
      </c>
      <c r="C84" t="s">
        <v>37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>
        <v>119.2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</row>
    <row r="85" spans="1:30" x14ac:dyDescent="0.3">
      <c r="A85" t="s">
        <v>34</v>
      </c>
      <c r="B85">
        <v>2015</v>
      </c>
      <c r="C85" t="s">
        <v>37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>
        <v>119.2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</row>
    <row r="86" spans="1:30" x14ac:dyDescent="0.3">
      <c r="A86" t="s">
        <v>30</v>
      </c>
      <c r="B86">
        <v>2015</v>
      </c>
      <c r="C86" t="s">
        <v>38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 t="s">
        <v>32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</row>
    <row r="87" spans="1:30" x14ac:dyDescent="0.3">
      <c r="A87" t="s">
        <v>33</v>
      </c>
      <c r="B87">
        <v>2015</v>
      </c>
      <c r="C87" t="s">
        <v>38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>
        <v>119.6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</row>
    <row r="88" spans="1:30" x14ac:dyDescent="0.3">
      <c r="A88" t="s">
        <v>34</v>
      </c>
      <c r="B88">
        <v>2015</v>
      </c>
      <c r="C88" t="s">
        <v>38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>
        <v>119.6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</row>
    <row r="89" spans="1:30" x14ac:dyDescent="0.3">
      <c r="A89" t="s">
        <v>30</v>
      </c>
      <c r="B89">
        <v>2015</v>
      </c>
      <c r="C89" t="s">
        <v>39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 t="s">
        <v>32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</row>
    <row r="90" spans="1:30" x14ac:dyDescent="0.3">
      <c r="A90" t="s">
        <v>33</v>
      </c>
      <c r="B90">
        <v>2015</v>
      </c>
      <c r="C90" t="s">
        <v>39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>
        <v>119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</row>
    <row r="91" spans="1:30" x14ac:dyDescent="0.3">
      <c r="A91" t="s">
        <v>34</v>
      </c>
      <c r="B91">
        <v>2015</v>
      </c>
      <c r="C91" t="s">
        <v>39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>
        <v>119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</row>
    <row r="92" spans="1:30" x14ac:dyDescent="0.3">
      <c r="A92" t="s">
        <v>30</v>
      </c>
      <c r="B92">
        <v>2015</v>
      </c>
      <c r="C92" t="s">
        <v>40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 t="s">
        <v>32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</row>
    <row r="93" spans="1:30" x14ac:dyDescent="0.3">
      <c r="A93" t="s">
        <v>33</v>
      </c>
      <c r="B93">
        <v>2015</v>
      </c>
      <c r="C93" t="s">
        <v>40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>
        <v>119.9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</row>
    <row r="94" spans="1:30" x14ac:dyDescent="0.3">
      <c r="A94" t="s">
        <v>34</v>
      </c>
      <c r="B94">
        <v>2015</v>
      </c>
      <c r="C94" t="s">
        <v>40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>
        <v>119.9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</row>
    <row r="95" spans="1:30" x14ac:dyDescent="0.3">
      <c r="A95" t="s">
        <v>30</v>
      </c>
      <c r="B95">
        <v>2015</v>
      </c>
      <c r="C95" t="s">
        <v>41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 t="s">
        <v>32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</row>
    <row r="96" spans="1:30" x14ac:dyDescent="0.3">
      <c r="A96" t="s">
        <v>33</v>
      </c>
      <c r="B96">
        <v>2015</v>
      </c>
      <c r="C96" t="s">
        <v>41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>
        <v>120.9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</row>
    <row r="97" spans="1:30" x14ac:dyDescent="0.3">
      <c r="A97" t="s">
        <v>34</v>
      </c>
      <c r="B97">
        <v>2015</v>
      </c>
      <c r="C97" t="s">
        <v>41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>
        <v>120.9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</row>
    <row r="98" spans="1:30" x14ac:dyDescent="0.3">
      <c r="A98" t="s">
        <v>30</v>
      </c>
      <c r="B98">
        <v>2015</v>
      </c>
      <c r="C98" t="s">
        <v>42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 t="s">
        <v>32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</row>
    <row r="99" spans="1:30" x14ac:dyDescent="0.3">
      <c r="A99" t="s">
        <v>33</v>
      </c>
      <c r="B99">
        <v>2015</v>
      </c>
      <c r="C99" t="s">
        <v>42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>
        <v>121.6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</row>
    <row r="100" spans="1:30" x14ac:dyDescent="0.3">
      <c r="A100" t="s">
        <v>34</v>
      </c>
      <c r="B100">
        <v>2015</v>
      </c>
      <c r="C100" t="s">
        <v>42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>
        <v>121.6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</row>
    <row r="101" spans="1:30" x14ac:dyDescent="0.3">
      <c r="A101" t="s">
        <v>30</v>
      </c>
      <c r="B101">
        <v>2015</v>
      </c>
      <c r="C101" t="s">
        <v>43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 t="s">
        <v>32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</row>
    <row r="102" spans="1:30" x14ac:dyDescent="0.3">
      <c r="A102" t="s">
        <v>33</v>
      </c>
      <c r="B102">
        <v>2015</v>
      </c>
      <c r="C102" t="s">
        <v>43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>
        <v>122.4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</row>
    <row r="103" spans="1:30" x14ac:dyDescent="0.3">
      <c r="A103" t="s">
        <v>34</v>
      </c>
      <c r="B103">
        <v>2015</v>
      </c>
      <c r="C103" t="s">
        <v>43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>
        <v>122.4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</row>
    <row r="104" spans="1:30" x14ac:dyDescent="0.3">
      <c r="A104" t="s">
        <v>30</v>
      </c>
      <c r="B104">
        <v>2015</v>
      </c>
      <c r="C104" t="s">
        <v>45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 t="s">
        <v>32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</row>
    <row r="105" spans="1:30" x14ac:dyDescent="0.3">
      <c r="A105" t="s">
        <v>33</v>
      </c>
      <c r="B105">
        <v>2015</v>
      </c>
      <c r="C105" t="s">
        <v>45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>
        <v>122.9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</row>
    <row r="106" spans="1:30" x14ac:dyDescent="0.3">
      <c r="A106" t="s">
        <v>34</v>
      </c>
      <c r="B106">
        <v>2015</v>
      </c>
      <c r="C106" t="s">
        <v>45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>
        <v>122.9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</row>
    <row r="107" spans="1:30" x14ac:dyDescent="0.3">
      <c r="A107" t="s">
        <v>30</v>
      </c>
      <c r="B107">
        <v>2015</v>
      </c>
      <c r="C107" t="s">
        <v>46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 t="s">
        <v>32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</row>
    <row r="108" spans="1:30" x14ac:dyDescent="0.3">
      <c r="A108" t="s">
        <v>33</v>
      </c>
      <c r="B108">
        <v>2015</v>
      </c>
      <c r="C108" t="s">
        <v>46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>
        <v>122.4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</row>
    <row r="109" spans="1:30" x14ac:dyDescent="0.3">
      <c r="A109" t="s">
        <v>34</v>
      </c>
      <c r="B109">
        <v>2015</v>
      </c>
      <c r="C109" t="s">
        <v>46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>
        <v>122.4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</row>
    <row r="110" spans="1:30" x14ac:dyDescent="0.3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 t="s">
        <v>32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</row>
    <row r="111" spans="1:30" x14ac:dyDescent="0.3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>
        <v>123.4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</row>
    <row r="112" spans="1:30" x14ac:dyDescent="0.3">
      <c r="A112" t="s">
        <v>34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>
        <v>123.4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</row>
    <row r="113" spans="1:30" x14ac:dyDescent="0.3">
      <c r="A113" t="s">
        <v>30</v>
      </c>
      <c r="B113">
        <v>2016</v>
      </c>
      <c r="C113" t="s">
        <v>35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 t="s">
        <v>32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</row>
    <row r="114" spans="1:30" x14ac:dyDescent="0.3">
      <c r="A114" t="s">
        <v>33</v>
      </c>
      <c r="B114">
        <v>2016</v>
      </c>
      <c r="C114" t="s">
        <v>35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>
        <v>124.4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</row>
    <row r="115" spans="1:30" x14ac:dyDescent="0.3">
      <c r="A115" t="s">
        <v>34</v>
      </c>
      <c r="B115">
        <v>2016</v>
      </c>
      <c r="C115" t="s">
        <v>35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>
        <v>124.4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</row>
    <row r="116" spans="1:30" x14ac:dyDescent="0.3">
      <c r="A116" t="s">
        <v>30</v>
      </c>
      <c r="B116">
        <v>2016</v>
      </c>
      <c r="C116" t="s">
        <v>36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 t="s">
        <v>32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</row>
    <row r="117" spans="1:30" x14ac:dyDescent="0.3">
      <c r="A117" t="s">
        <v>33</v>
      </c>
      <c r="B117">
        <v>2016</v>
      </c>
      <c r="C117" t="s">
        <v>36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>
        <v>124.9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</row>
    <row r="118" spans="1:30" x14ac:dyDescent="0.3">
      <c r="A118" t="s">
        <v>34</v>
      </c>
      <c r="B118">
        <v>2016</v>
      </c>
      <c r="C118" t="s">
        <v>36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>
        <v>124.9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</row>
    <row r="119" spans="1:30" x14ac:dyDescent="0.3">
      <c r="A119" t="s">
        <v>30</v>
      </c>
      <c r="B119">
        <v>2016</v>
      </c>
      <c r="C119" t="s">
        <v>37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 t="s">
        <v>32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</row>
    <row r="120" spans="1:30" x14ac:dyDescent="0.3">
      <c r="A120" t="s">
        <v>33</v>
      </c>
      <c r="B120">
        <v>2016</v>
      </c>
      <c r="C120" t="s">
        <v>37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>
        <v>125.6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</row>
    <row r="121" spans="1:30" x14ac:dyDescent="0.3">
      <c r="A121" t="s">
        <v>34</v>
      </c>
      <c r="B121">
        <v>2016</v>
      </c>
      <c r="C121" t="s">
        <v>37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>
        <v>125.6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</row>
    <row r="122" spans="1:30" x14ac:dyDescent="0.3">
      <c r="A122" t="s">
        <v>30</v>
      </c>
      <c r="B122">
        <v>2016</v>
      </c>
      <c r="C122" t="s">
        <v>38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 t="s">
        <v>32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</row>
    <row r="123" spans="1:30" x14ac:dyDescent="0.3">
      <c r="A123" t="s">
        <v>33</v>
      </c>
      <c r="B123">
        <v>2016</v>
      </c>
      <c r="C123" t="s">
        <v>38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>
        <v>126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</row>
    <row r="124" spans="1:30" x14ac:dyDescent="0.3">
      <c r="A124" t="s">
        <v>34</v>
      </c>
      <c r="B124">
        <v>2016</v>
      </c>
      <c r="C124" t="s">
        <v>38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>
        <v>126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</row>
    <row r="125" spans="1:30" x14ac:dyDescent="0.3">
      <c r="A125" t="s">
        <v>30</v>
      </c>
      <c r="B125">
        <v>2016</v>
      </c>
      <c r="C125" t="s">
        <v>39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 t="s">
        <v>32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</row>
    <row r="126" spans="1:30" x14ac:dyDescent="0.3">
      <c r="A126" t="s">
        <v>33</v>
      </c>
      <c r="B126">
        <v>2016</v>
      </c>
      <c r="C126" t="s">
        <v>39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>
        <v>125.5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</row>
    <row r="127" spans="1:30" x14ac:dyDescent="0.3">
      <c r="A127" t="s">
        <v>34</v>
      </c>
      <c r="B127">
        <v>2016</v>
      </c>
      <c r="C127" t="s">
        <v>39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>
        <v>125.5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</row>
    <row r="128" spans="1:30" x14ac:dyDescent="0.3">
      <c r="A128" t="s">
        <v>30</v>
      </c>
      <c r="B128">
        <v>2016</v>
      </c>
      <c r="C128" t="s">
        <v>40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 t="s">
        <v>32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</row>
    <row r="129" spans="1:30" x14ac:dyDescent="0.3">
      <c r="A129" t="s">
        <v>33</v>
      </c>
      <c r="B129">
        <v>2016</v>
      </c>
      <c r="C129" t="s">
        <v>40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>
        <v>126.4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</row>
    <row r="130" spans="1:30" x14ac:dyDescent="0.3">
      <c r="A130" t="s">
        <v>34</v>
      </c>
      <c r="B130">
        <v>2016</v>
      </c>
      <c r="C130" t="s">
        <v>40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>
        <v>126.4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</row>
    <row r="131" spans="1:30" x14ac:dyDescent="0.3">
      <c r="A131" t="s">
        <v>30</v>
      </c>
      <c r="B131">
        <v>2016</v>
      </c>
      <c r="C131" t="s">
        <v>41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 t="s">
        <v>32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</row>
    <row r="132" spans="1:30" x14ac:dyDescent="0.3">
      <c r="A132" t="s">
        <v>33</v>
      </c>
      <c r="B132">
        <v>2016</v>
      </c>
      <c r="C132" t="s">
        <v>41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>
        <v>127.3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</row>
    <row r="133" spans="1:30" x14ac:dyDescent="0.3">
      <c r="A133" t="s">
        <v>34</v>
      </c>
      <c r="B133">
        <v>2016</v>
      </c>
      <c r="C133" t="s">
        <v>41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>
        <v>127.3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</row>
    <row r="134" spans="1:30" x14ac:dyDescent="0.3">
      <c r="A134" t="s">
        <v>30</v>
      </c>
      <c r="B134">
        <v>2016</v>
      </c>
      <c r="C134" t="s">
        <v>42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 t="s">
        <v>32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</row>
    <row r="135" spans="1:30" x14ac:dyDescent="0.3">
      <c r="A135" t="s">
        <v>33</v>
      </c>
      <c r="B135">
        <v>2016</v>
      </c>
      <c r="C135" t="s">
        <v>42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>
        <v>127.9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</row>
    <row r="136" spans="1:30" x14ac:dyDescent="0.3">
      <c r="A136" t="s">
        <v>34</v>
      </c>
      <c r="B136">
        <v>2016</v>
      </c>
      <c r="C136" t="s">
        <v>42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>
        <v>127.9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</row>
    <row r="137" spans="1:30" x14ac:dyDescent="0.3">
      <c r="A137" t="s">
        <v>30</v>
      </c>
      <c r="B137">
        <v>2016</v>
      </c>
      <c r="C137" t="s">
        <v>43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 t="s">
        <v>32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</row>
    <row r="138" spans="1:30" x14ac:dyDescent="0.3">
      <c r="A138" t="s">
        <v>33</v>
      </c>
      <c r="B138">
        <v>2016</v>
      </c>
      <c r="C138" t="s">
        <v>43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>
        <v>128.69999999999999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</row>
    <row r="139" spans="1:30" x14ac:dyDescent="0.3">
      <c r="A139" t="s">
        <v>34</v>
      </c>
      <c r="B139">
        <v>2016</v>
      </c>
      <c r="C139" t="s">
        <v>43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>
        <v>128.69999999999999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</row>
    <row r="140" spans="1:30" x14ac:dyDescent="0.3">
      <c r="A140" t="s">
        <v>30</v>
      </c>
      <c r="B140">
        <v>2016</v>
      </c>
      <c r="C140" t="s">
        <v>45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 t="s">
        <v>32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</row>
    <row r="141" spans="1:30" x14ac:dyDescent="0.3">
      <c r="A141" t="s">
        <v>33</v>
      </c>
      <c r="B141">
        <v>2016</v>
      </c>
      <c r="C141" t="s">
        <v>45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>
        <v>129.1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</row>
    <row r="142" spans="1:30" x14ac:dyDescent="0.3">
      <c r="A142" t="s">
        <v>34</v>
      </c>
      <c r="B142">
        <v>2016</v>
      </c>
      <c r="C142" t="s">
        <v>45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>
        <v>129.1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</row>
    <row r="143" spans="1:30" x14ac:dyDescent="0.3">
      <c r="A143" t="s">
        <v>30</v>
      </c>
      <c r="B143">
        <v>2016</v>
      </c>
      <c r="C143" t="s">
        <v>46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 t="s">
        <v>32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</row>
    <row r="144" spans="1:30" x14ac:dyDescent="0.3">
      <c r="A144" t="s">
        <v>33</v>
      </c>
      <c r="B144">
        <v>2016</v>
      </c>
      <c r="C144" t="s">
        <v>46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>
        <v>128.5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</row>
    <row r="145" spans="1:30" x14ac:dyDescent="0.3">
      <c r="A145" t="s">
        <v>34</v>
      </c>
      <c r="B145">
        <v>2016</v>
      </c>
      <c r="C145" t="s">
        <v>46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>
        <v>128.5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</row>
    <row r="146" spans="1:30" x14ac:dyDescent="0.3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 t="s">
        <v>32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</row>
    <row r="147" spans="1:30" x14ac:dyDescent="0.3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>
        <v>129.6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</row>
    <row r="148" spans="1:30" x14ac:dyDescent="0.3">
      <c r="A148" t="s">
        <v>34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>
        <v>129.6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</row>
    <row r="149" spans="1:30" x14ac:dyDescent="0.3">
      <c r="A149" t="s">
        <v>30</v>
      </c>
      <c r="B149">
        <v>2017</v>
      </c>
      <c r="C149" t="s">
        <v>35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 t="s">
        <v>32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</row>
    <row r="150" spans="1:30" x14ac:dyDescent="0.3">
      <c r="A150" t="s">
        <v>33</v>
      </c>
      <c r="B150">
        <v>2017</v>
      </c>
      <c r="C150" t="s">
        <v>35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>
        <v>130.5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</row>
    <row r="151" spans="1:30" x14ac:dyDescent="0.3">
      <c r="A151" t="s">
        <v>34</v>
      </c>
      <c r="B151">
        <v>2017</v>
      </c>
      <c r="C151" t="s">
        <v>35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>
        <v>130.5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</row>
    <row r="152" spans="1:30" x14ac:dyDescent="0.3">
      <c r="A152" t="s">
        <v>30</v>
      </c>
      <c r="B152">
        <v>2017</v>
      </c>
      <c r="C152" t="s">
        <v>36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 t="s">
        <v>32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</row>
    <row r="153" spans="1:30" x14ac:dyDescent="0.3">
      <c r="A153" t="s">
        <v>33</v>
      </c>
      <c r="B153">
        <v>2017</v>
      </c>
      <c r="C153" t="s">
        <v>36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>
        <v>131.1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</row>
    <row r="154" spans="1:30" x14ac:dyDescent="0.3">
      <c r="A154" t="s">
        <v>34</v>
      </c>
      <c r="B154">
        <v>2017</v>
      </c>
      <c r="C154" t="s">
        <v>36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>
        <v>131.1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</row>
    <row r="155" spans="1:30" x14ac:dyDescent="0.3">
      <c r="A155" t="s">
        <v>30</v>
      </c>
      <c r="B155">
        <v>2017</v>
      </c>
      <c r="C155" t="s">
        <v>37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 t="s">
        <v>32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</row>
    <row r="156" spans="1:30" x14ac:dyDescent="0.3">
      <c r="A156" t="s">
        <v>33</v>
      </c>
      <c r="B156">
        <v>2017</v>
      </c>
      <c r="C156" t="s">
        <v>37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>
        <v>131.69999999999999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</row>
    <row r="157" spans="1:30" x14ac:dyDescent="0.3">
      <c r="A157" t="s">
        <v>34</v>
      </c>
      <c r="B157">
        <v>2017</v>
      </c>
      <c r="C157" t="s">
        <v>37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>
        <v>131.69999999999999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</row>
    <row r="158" spans="1:30" x14ac:dyDescent="0.3">
      <c r="A158" t="s">
        <v>30</v>
      </c>
      <c r="B158">
        <v>2017</v>
      </c>
      <c r="C158" t="s">
        <v>38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 t="s">
        <v>32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</row>
    <row r="159" spans="1:30" x14ac:dyDescent="0.3">
      <c r="A159" t="s">
        <v>33</v>
      </c>
      <c r="B159">
        <v>2017</v>
      </c>
      <c r="C159" t="s">
        <v>38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>
        <v>132.1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</row>
    <row r="160" spans="1:30" x14ac:dyDescent="0.3">
      <c r="A160" t="s">
        <v>34</v>
      </c>
      <c r="B160">
        <v>2017</v>
      </c>
      <c r="C160" t="s">
        <v>38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>
        <v>132.1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</row>
    <row r="161" spans="1:30" x14ac:dyDescent="0.3">
      <c r="A161" t="s">
        <v>30</v>
      </c>
      <c r="B161">
        <v>2017</v>
      </c>
      <c r="C161" t="s">
        <v>39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 t="s">
        <v>32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</row>
    <row r="162" spans="1:30" x14ac:dyDescent="0.3">
      <c r="A162" t="s">
        <v>33</v>
      </c>
      <c r="B162">
        <v>2017</v>
      </c>
      <c r="C162" t="s">
        <v>39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>
        <v>131.4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</row>
    <row r="163" spans="1:30" x14ac:dyDescent="0.3">
      <c r="A163" t="s">
        <v>34</v>
      </c>
      <c r="B163">
        <v>2017</v>
      </c>
      <c r="C163" t="s">
        <v>39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>
        <v>131.4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</row>
    <row r="164" spans="1:30" x14ac:dyDescent="0.3">
      <c r="A164" t="s">
        <v>30</v>
      </c>
      <c r="B164">
        <v>2017</v>
      </c>
      <c r="C164" t="s">
        <v>40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 t="s">
        <v>32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</row>
    <row r="165" spans="1:30" x14ac:dyDescent="0.3">
      <c r="A165" t="s">
        <v>33</v>
      </c>
      <c r="B165">
        <v>2017</v>
      </c>
      <c r="C165" t="s">
        <v>40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>
        <v>132.6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</row>
    <row r="166" spans="1:30" x14ac:dyDescent="0.3">
      <c r="A166" t="s">
        <v>34</v>
      </c>
      <c r="B166">
        <v>2017</v>
      </c>
      <c r="C166" t="s">
        <v>40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>
        <v>132.6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</row>
    <row r="167" spans="1:30" x14ac:dyDescent="0.3">
      <c r="A167" t="s">
        <v>30</v>
      </c>
      <c r="B167">
        <v>2017</v>
      </c>
      <c r="C167" t="s">
        <v>41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 t="s">
        <v>32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</row>
    <row r="168" spans="1:30" x14ac:dyDescent="0.3">
      <c r="A168" t="s">
        <v>33</v>
      </c>
      <c r="B168">
        <v>2017</v>
      </c>
      <c r="C168" t="s">
        <v>41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>
        <v>134.4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</row>
    <row r="169" spans="1:30" x14ac:dyDescent="0.3">
      <c r="A169" t="s">
        <v>34</v>
      </c>
      <c r="B169">
        <v>2017</v>
      </c>
      <c r="C169" t="s">
        <v>41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>
        <v>134.4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</row>
    <row r="170" spans="1:30" x14ac:dyDescent="0.3">
      <c r="A170" t="s">
        <v>30</v>
      </c>
      <c r="B170">
        <v>2017</v>
      </c>
      <c r="C170" t="s">
        <v>42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 t="s">
        <v>32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</row>
    <row r="171" spans="1:30" x14ac:dyDescent="0.3">
      <c r="A171" t="s">
        <v>33</v>
      </c>
      <c r="B171">
        <v>2017</v>
      </c>
      <c r="C171" t="s">
        <v>42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>
        <v>135.69999999999999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</row>
    <row r="172" spans="1:30" x14ac:dyDescent="0.3">
      <c r="A172" t="s">
        <v>34</v>
      </c>
      <c r="B172">
        <v>2017</v>
      </c>
      <c r="C172" t="s">
        <v>42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>
        <v>135.69999999999999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</row>
    <row r="173" spans="1:30" x14ac:dyDescent="0.3">
      <c r="A173" t="s">
        <v>30</v>
      </c>
      <c r="B173">
        <v>2017</v>
      </c>
      <c r="C173" t="s">
        <v>43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 t="s">
        <v>32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</row>
    <row r="174" spans="1:30" x14ac:dyDescent="0.3">
      <c r="A174" t="s">
        <v>33</v>
      </c>
      <c r="B174">
        <v>2017</v>
      </c>
      <c r="C174" t="s">
        <v>43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>
        <v>137.30000000000001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</row>
    <row r="175" spans="1:30" x14ac:dyDescent="0.3">
      <c r="A175" t="s">
        <v>34</v>
      </c>
      <c r="B175">
        <v>2017</v>
      </c>
      <c r="C175" t="s">
        <v>43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>
        <v>137.30000000000001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</row>
    <row r="176" spans="1:30" x14ac:dyDescent="0.3">
      <c r="A176" t="s">
        <v>30</v>
      </c>
      <c r="B176">
        <v>2017</v>
      </c>
      <c r="C176" t="s">
        <v>45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 t="s">
        <v>32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</row>
    <row r="177" spans="1:30" x14ac:dyDescent="0.3">
      <c r="A177" t="s">
        <v>33</v>
      </c>
      <c r="B177">
        <v>2017</v>
      </c>
      <c r="C177" t="s">
        <v>45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>
        <v>138.6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</row>
    <row r="178" spans="1:30" x14ac:dyDescent="0.3">
      <c r="A178" t="s">
        <v>34</v>
      </c>
      <c r="B178">
        <v>2017</v>
      </c>
      <c r="C178" t="s">
        <v>45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>
        <v>138.6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</row>
    <row r="179" spans="1:30" x14ac:dyDescent="0.3">
      <c r="A179" t="s">
        <v>30</v>
      </c>
      <c r="B179">
        <v>2017</v>
      </c>
      <c r="C179" t="s">
        <v>46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 t="s">
        <v>32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</row>
    <row r="180" spans="1:30" x14ac:dyDescent="0.3">
      <c r="A180" t="s">
        <v>33</v>
      </c>
      <c r="B180">
        <v>2017</v>
      </c>
      <c r="C180" t="s">
        <v>46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>
        <v>139.1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</row>
    <row r="181" spans="1:30" x14ac:dyDescent="0.3">
      <c r="A181" t="s">
        <v>34</v>
      </c>
      <c r="B181">
        <v>2017</v>
      </c>
      <c r="C181" t="s">
        <v>46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>
        <v>139.1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</row>
    <row r="182" spans="1:30" x14ac:dyDescent="0.3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 t="s">
        <v>32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</row>
    <row r="183" spans="1:30" x14ac:dyDescent="0.3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>
        <v>140.4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</row>
    <row r="184" spans="1:30" x14ac:dyDescent="0.3">
      <c r="A184" t="s">
        <v>34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>
        <v>140.4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</row>
    <row r="185" spans="1:30" x14ac:dyDescent="0.3">
      <c r="A185" t="s">
        <v>30</v>
      </c>
      <c r="B185">
        <v>2018</v>
      </c>
      <c r="C185" t="s">
        <v>35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 t="s">
        <v>32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</row>
    <row r="186" spans="1:30" x14ac:dyDescent="0.3">
      <c r="A186" t="s">
        <v>33</v>
      </c>
      <c r="B186">
        <v>2018</v>
      </c>
      <c r="C186" t="s">
        <v>35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>
        <v>141.30000000000001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</row>
    <row r="187" spans="1:30" x14ac:dyDescent="0.3">
      <c r="A187" t="s">
        <v>34</v>
      </c>
      <c r="B187">
        <v>2018</v>
      </c>
      <c r="C187" t="s">
        <v>35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>
        <v>141.30000000000001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</row>
    <row r="188" spans="1:30" x14ac:dyDescent="0.3">
      <c r="A188" t="s">
        <v>30</v>
      </c>
      <c r="B188">
        <v>2018</v>
      </c>
      <c r="C188" t="s">
        <v>36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 t="s">
        <v>32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</row>
    <row r="189" spans="1:30" x14ac:dyDescent="0.3">
      <c r="A189" t="s">
        <v>33</v>
      </c>
      <c r="B189">
        <v>2018</v>
      </c>
      <c r="C189" t="s">
        <v>36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>
        <v>142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</row>
    <row r="190" spans="1:30" x14ac:dyDescent="0.3">
      <c r="A190" t="s">
        <v>34</v>
      </c>
      <c r="B190">
        <v>2018</v>
      </c>
      <c r="C190" t="s">
        <v>36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>
        <v>142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</row>
    <row r="191" spans="1:30" x14ac:dyDescent="0.3">
      <c r="A191" t="s">
        <v>30</v>
      </c>
      <c r="B191">
        <v>2018</v>
      </c>
      <c r="C191" t="s">
        <v>37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 t="s">
        <v>32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</row>
    <row r="192" spans="1:30" x14ac:dyDescent="0.3">
      <c r="A192" t="s">
        <v>33</v>
      </c>
      <c r="B192">
        <v>2018</v>
      </c>
      <c r="C192" t="s">
        <v>37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>
        <v>142.9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</row>
    <row r="193" spans="1:30" x14ac:dyDescent="0.3">
      <c r="A193" t="s">
        <v>34</v>
      </c>
      <c r="B193">
        <v>2018</v>
      </c>
      <c r="C193" t="s">
        <v>37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>
        <v>142.9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</row>
    <row r="194" spans="1:30" x14ac:dyDescent="0.3">
      <c r="A194" t="s">
        <v>30</v>
      </c>
      <c r="B194">
        <v>2018</v>
      </c>
      <c r="C194" t="s">
        <v>38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 t="s">
        <v>32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</row>
    <row r="195" spans="1:30" x14ac:dyDescent="0.3">
      <c r="A195" t="s">
        <v>33</v>
      </c>
      <c r="B195">
        <v>2018</v>
      </c>
      <c r="C195" t="s">
        <v>38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>
        <v>143.19999999999999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</row>
    <row r="196" spans="1:30" x14ac:dyDescent="0.3">
      <c r="A196" t="s">
        <v>34</v>
      </c>
      <c r="B196">
        <v>2018</v>
      </c>
      <c r="C196" t="s">
        <v>38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>
        <v>143.19999999999999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</row>
    <row r="197" spans="1:30" x14ac:dyDescent="0.3">
      <c r="A197" t="s">
        <v>30</v>
      </c>
      <c r="B197">
        <v>2018</v>
      </c>
      <c r="C197" t="s">
        <v>39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 t="s">
        <v>32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</row>
    <row r="198" spans="1:30" x14ac:dyDescent="0.3">
      <c r="A198" t="s">
        <v>33</v>
      </c>
      <c r="B198">
        <v>2018</v>
      </c>
      <c r="C198" t="s">
        <v>39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>
        <v>142.5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</row>
    <row r="199" spans="1:30" x14ac:dyDescent="0.3">
      <c r="A199" t="s">
        <v>34</v>
      </c>
      <c r="B199">
        <v>2018</v>
      </c>
      <c r="C199" t="s">
        <v>39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>
        <v>142.5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</row>
    <row r="200" spans="1:30" x14ac:dyDescent="0.3">
      <c r="A200" t="s">
        <v>30</v>
      </c>
      <c r="B200">
        <v>2018</v>
      </c>
      <c r="C200" t="s">
        <v>40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 t="s">
        <v>32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</row>
    <row r="201" spans="1:30" x14ac:dyDescent="0.3">
      <c r="A201" t="s">
        <v>33</v>
      </c>
      <c r="B201">
        <v>2018</v>
      </c>
      <c r="C201" t="s">
        <v>40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>
        <v>143.6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</row>
    <row r="202" spans="1:30" x14ac:dyDescent="0.3">
      <c r="A202" t="s">
        <v>34</v>
      </c>
      <c r="B202">
        <v>2018</v>
      </c>
      <c r="C202" t="s">
        <v>40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>
        <v>143.6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</row>
    <row r="203" spans="1:30" x14ac:dyDescent="0.3">
      <c r="A203" t="s">
        <v>30</v>
      </c>
      <c r="B203">
        <v>2018</v>
      </c>
      <c r="C203" t="s">
        <v>41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 t="s">
        <v>32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</row>
    <row r="204" spans="1:30" x14ac:dyDescent="0.3">
      <c r="A204" t="s">
        <v>33</v>
      </c>
      <c r="B204">
        <v>2018</v>
      </c>
      <c r="C204" t="s">
        <v>41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>
        <v>144.6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</row>
    <row r="205" spans="1:30" x14ac:dyDescent="0.3">
      <c r="A205" t="s">
        <v>34</v>
      </c>
      <c r="B205">
        <v>2018</v>
      </c>
      <c r="C205" t="s">
        <v>41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>
        <v>144.6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</row>
    <row r="206" spans="1:30" x14ac:dyDescent="0.3">
      <c r="A206" t="s">
        <v>30</v>
      </c>
      <c r="B206">
        <v>2018</v>
      </c>
      <c r="C206" t="s">
        <v>42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 t="s">
        <v>32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</row>
    <row r="207" spans="1:30" x14ac:dyDescent="0.3">
      <c r="A207" t="s">
        <v>33</v>
      </c>
      <c r="B207">
        <v>2018</v>
      </c>
      <c r="C207" t="s">
        <v>42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>
        <v>145.30000000000001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</row>
    <row r="208" spans="1:30" x14ac:dyDescent="0.3">
      <c r="A208" t="s">
        <v>34</v>
      </c>
      <c r="B208">
        <v>2018</v>
      </c>
      <c r="C208" t="s">
        <v>42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>
        <v>145.30000000000001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</row>
    <row r="209" spans="1:30" x14ac:dyDescent="0.3">
      <c r="A209" t="s">
        <v>30</v>
      </c>
      <c r="B209">
        <v>2018</v>
      </c>
      <c r="C209" t="s">
        <v>43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 t="s">
        <v>32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</row>
    <row r="210" spans="1:30" x14ac:dyDescent="0.3">
      <c r="A210" t="s">
        <v>33</v>
      </c>
      <c r="B210">
        <v>2018</v>
      </c>
      <c r="C210" t="s">
        <v>43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>
        <v>146.30000000000001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</row>
    <row r="211" spans="1:30" x14ac:dyDescent="0.3">
      <c r="A211" t="s">
        <v>34</v>
      </c>
      <c r="B211">
        <v>2018</v>
      </c>
      <c r="C211" t="s">
        <v>43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>
        <v>146.9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</row>
    <row r="212" spans="1:30" x14ac:dyDescent="0.3">
      <c r="A212" t="s">
        <v>30</v>
      </c>
      <c r="B212">
        <v>2018</v>
      </c>
      <c r="C212" t="s">
        <v>45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 t="s">
        <v>32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</row>
    <row r="213" spans="1:30" x14ac:dyDescent="0.3">
      <c r="A213" t="s">
        <v>33</v>
      </c>
      <c r="B213">
        <v>2018</v>
      </c>
      <c r="C213" t="s">
        <v>45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>
        <v>146.9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</row>
    <row r="214" spans="1:30" x14ac:dyDescent="0.3">
      <c r="A214" t="s">
        <v>34</v>
      </c>
      <c r="B214">
        <v>2018</v>
      </c>
      <c r="C214" t="s">
        <v>45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>
        <v>146.9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 x14ac:dyDescent="0.3">
      <c r="A215" t="s">
        <v>30</v>
      </c>
      <c r="B215">
        <v>2018</v>
      </c>
      <c r="C215" t="s">
        <v>46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 t="s">
        <v>32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</row>
    <row r="216" spans="1:30" x14ac:dyDescent="0.3">
      <c r="A216" t="s">
        <v>33</v>
      </c>
      <c r="B216">
        <v>2018</v>
      </c>
      <c r="C216" t="s">
        <v>46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>
        <v>146.5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</row>
    <row r="217" spans="1:30" x14ac:dyDescent="0.3">
      <c r="A217" t="s">
        <v>34</v>
      </c>
      <c r="B217">
        <v>2018</v>
      </c>
      <c r="C217" t="s">
        <v>46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>
        <v>146.5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</row>
    <row r="218" spans="1:30" x14ac:dyDescent="0.3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 t="s">
        <v>32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</row>
    <row r="219" spans="1:30" x14ac:dyDescent="0.3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>
        <v>147.69999999999999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</row>
    <row r="220" spans="1:30" x14ac:dyDescent="0.3">
      <c r="A220" t="s">
        <v>34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>
        <v>147.69999999999999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</row>
    <row r="221" spans="1:30" x14ac:dyDescent="0.3">
      <c r="A221" t="s">
        <v>30</v>
      </c>
      <c r="B221">
        <v>2019</v>
      </c>
      <c r="C221" t="s">
        <v>35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 t="s">
        <v>32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</row>
    <row r="222" spans="1:30" x14ac:dyDescent="0.3">
      <c r="A222" t="s">
        <v>33</v>
      </c>
      <c r="B222">
        <v>2019</v>
      </c>
      <c r="C222" t="s">
        <v>35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>
        <v>148.5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</row>
    <row r="223" spans="1:30" x14ac:dyDescent="0.3">
      <c r="A223" t="s">
        <v>34</v>
      </c>
      <c r="B223">
        <v>2019</v>
      </c>
      <c r="C223" t="s">
        <v>35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>
        <v>148.5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</row>
    <row r="224" spans="1:30" x14ac:dyDescent="0.3">
      <c r="A224" t="s">
        <v>30</v>
      </c>
      <c r="B224">
        <v>2019</v>
      </c>
      <c r="C224" t="s">
        <v>36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 t="s">
        <v>32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</row>
    <row r="225" spans="1:30" x14ac:dyDescent="0.3">
      <c r="A225" t="s">
        <v>33</v>
      </c>
      <c r="B225">
        <v>2019</v>
      </c>
      <c r="C225" t="s">
        <v>36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>
        <v>149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</row>
    <row r="226" spans="1:30" x14ac:dyDescent="0.3">
      <c r="A226" t="s">
        <v>34</v>
      </c>
      <c r="B226">
        <v>2019</v>
      </c>
      <c r="C226" t="s">
        <v>36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>
        <v>149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</row>
    <row r="227" spans="1:30" x14ac:dyDescent="0.3">
      <c r="A227" t="s">
        <v>30</v>
      </c>
      <c r="B227">
        <v>2019</v>
      </c>
      <c r="C227" t="s">
        <v>38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 t="s">
        <v>32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</row>
    <row r="228" spans="1:30" x14ac:dyDescent="0.3">
      <c r="A228" t="s">
        <v>33</v>
      </c>
      <c r="B228">
        <v>2019</v>
      </c>
      <c r="C228" t="s">
        <v>38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>
        <v>150.1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</row>
    <row r="229" spans="1:30" x14ac:dyDescent="0.3">
      <c r="A229" t="s">
        <v>34</v>
      </c>
      <c r="B229">
        <v>2019</v>
      </c>
      <c r="C229" t="s">
        <v>38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>
        <v>150.1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</row>
    <row r="230" spans="1:30" x14ac:dyDescent="0.3">
      <c r="A230" t="s">
        <v>30</v>
      </c>
      <c r="B230">
        <v>2019</v>
      </c>
      <c r="C230" t="s">
        <v>39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 t="s">
        <v>32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</row>
    <row r="231" spans="1:30" x14ac:dyDescent="0.3">
      <c r="A231" t="s">
        <v>33</v>
      </c>
      <c r="B231">
        <v>2019</v>
      </c>
      <c r="C231" t="s">
        <v>39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>
        <v>149.4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</row>
    <row r="232" spans="1:30" x14ac:dyDescent="0.3">
      <c r="A232" t="s">
        <v>34</v>
      </c>
      <c r="B232">
        <v>2019</v>
      </c>
      <c r="C232" t="s">
        <v>39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>
        <v>149.4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</row>
    <row r="233" spans="1:30" x14ac:dyDescent="0.3">
      <c r="A233" t="s">
        <v>30</v>
      </c>
      <c r="B233">
        <v>2019</v>
      </c>
      <c r="C233" t="s">
        <v>40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 t="s">
        <v>32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</row>
    <row r="234" spans="1:30" x14ac:dyDescent="0.3">
      <c r="A234" t="s">
        <v>33</v>
      </c>
      <c r="B234">
        <v>2019</v>
      </c>
      <c r="C234" t="s">
        <v>40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>
        <v>150.6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</row>
    <row r="235" spans="1:30" x14ac:dyDescent="0.3">
      <c r="A235" t="s">
        <v>34</v>
      </c>
      <c r="B235">
        <v>2019</v>
      </c>
      <c r="C235" t="s">
        <v>40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>
        <v>150.6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</row>
    <row r="236" spans="1:30" x14ac:dyDescent="0.3">
      <c r="A236" t="s">
        <v>30</v>
      </c>
      <c r="B236">
        <v>2019</v>
      </c>
      <c r="C236" t="s">
        <v>41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 t="s">
        <v>32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</row>
    <row r="237" spans="1:30" x14ac:dyDescent="0.3">
      <c r="A237" t="s">
        <v>33</v>
      </c>
      <c r="B237">
        <v>2019</v>
      </c>
      <c r="C237" t="s">
        <v>41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>
        <v>151.6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</row>
    <row r="238" spans="1:30" x14ac:dyDescent="0.3">
      <c r="A238" t="s">
        <v>34</v>
      </c>
      <c r="B238">
        <v>2019</v>
      </c>
      <c r="C238" t="s">
        <v>41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>
        <v>151.6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</row>
    <row r="239" spans="1:30" x14ac:dyDescent="0.3">
      <c r="A239" t="s">
        <v>30</v>
      </c>
      <c r="B239">
        <v>2019</v>
      </c>
      <c r="C239" t="s">
        <v>42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 t="s">
        <v>32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</row>
    <row r="240" spans="1:30" x14ac:dyDescent="0.3">
      <c r="A240" t="s">
        <v>33</v>
      </c>
      <c r="B240">
        <v>2019</v>
      </c>
      <c r="C240" t="s">
        <v>42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>
        <v>152.19999999999999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</row>
    <row r="241" spans="1:30" x14ac:dyDescent="0.3">
      <c r="A241" t="s">
        <v>34</v>
      </c>
      <c r="B241">
        <v>2019</v>
      </c>
      <c r="C241" t="s">
        <v>42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>
        <v>152.19999999999999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</row>
    <row r="242" spans="1:30" x14ac:dyDescent="0.3">
      <c r="A242" t="s">
        <v>30</v>
      </c>
      <c r="B242">
        <v>2019</v>
      </c>
      <c r="C242" t="s">
        <v>43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 t="s">
        <v>32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</row>
    <row r="243" spans="1:30" x14ac:dyDescent="0.3">
      <c r="A243" t="s">
        <v>33</v>
      </c>
      <c r="B243">
        <v>2019</v>
      </c>
      <c r="C243" t="s">
        <v>43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>
        <v>153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</row>
    <row r="244" spans="1:30" x14ac:dyDescent="0.3">
      <c r="A244" t="s">
        <v>34</v>
      </c>
      <c r="B244">
        <v>2019</v>
      </c>
      <c r="C244" t="s">
        <v>43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>
        <v>153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</row>
    <row r="245" spans="1:30" x14ac:dyDescent="0.3">
      <c r="A245" t="s">
        <v>30</v>
      </c>
      <c r="B245">
        <v>2019</v>
      </c>
      <c r="C245" t="s">
        <v>45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 t="s">
        <v>32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</row>
    <row r="246" spans="1:30" x14ac:dyDescent="0.3">
      <c r="A246" t="s">
        <v>33</v>
      </c>
      <c r="B246">
        <v>2019</v>
      </c>
      <c r="C246" t="s">
        <v>45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>
        <v>153.5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</row>
    <row r="247" spans="1:30" x14ac:dyDescent="0.3">
      <c r="A247" t="s">
        <v>34</v>
      </c>
      <c r="B247">
        <v>2019</v>
      </c>
      <c r="C247" t="s">
        <v>45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>
        <v>153.5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</row>
    <row r="248" spans="1:30" x14ac:dyDescent="0.3">
      <c r="A248" t="s">
        <v>30</v>
      </c>
      <c r="B248">
        <v>2019</v>
      </c>
      <c r="C248" t="s">
        <v>46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 t="s">
        <v>32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</row>
    <row r="249" spans="1:30" x14ac:dyDescent="0.3">
      <c r="A249" t="s">
        <v>33</v>
      </c>
      <c r="B249">
        <v>2019</v>
      </c>
      <c r="C249" t="s">
        <v>46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>
        <v>152.80000000000001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</row>
    <row r="250" spans="1:30" x14ac:dyDescent="0.3">
      <c r="A250" t="s">
        <v>34</v>
      </c>
      <c r="B250">
        <v>2019</v>
      </c>
      <c r="C250" t="s">
        <v>46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>
        <v>152.80000000000001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</row>
    <row r="251" spans="1:30" x14ac:dyDescent="0.3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 t="s">
        <v>32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</row>
    <row r="252" spans="1:30" x14ac:dyDescent="0.3">
      <c r="A252" t="s">
        <v>33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>
        <v>153.9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</row>
    <row r="253" spans="1:30" x14ac:dyDescent="0.3">
      <c r="A253" t="s">
        <v>34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>
        <v>153.9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</row>
    <row r="254" spans="1:30" x14ac:dyDescent="0.3">
      <c r="A254" t="s">
        <v>30</v>
      </c>
      <c r="B254">
        <v>2020</v>
      </c>
      <c r="C254" t="s">
        <v>35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 t="s">
        <v>32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</row>
    <row r="255" spans="1:30" x14ac:dyDescent="0.3">
      <c r="A255" t="s">
        <v>33</v>
      </c>
      <c r="B255">
        <v>2020</v>
      </c>
      <c r="C255" t="s">
        <v>35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>
        <v>154.80000000000001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</row>
    <row r="256" spans="1:30" x14ac:dyDescent="0.3">
      <c r="A256" t="s">
        <v>34</v>
      </c>
      <c r="B256">
        <v>2020</v>
      </c>
      <c r="C256" t="s">
        <v>35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>
        <v>154.80000000000001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</row>
    <row r="257" spans="1:30" x14ac:dyDescent="0.3">
      <c r="A257" t="s">
        <v>30</v>
      </c>
      <c r="B257">
        <v>2020</v>
      </c>
      <c r="C257" t="s">
        <v>36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 t="s">
        <v>32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</row>
    <row r="258" spans="1:30" x14ac:dyDescent="0.3">
      <c r="A258" t="s">
        <v>33</v>
      </c>
      <c r="B258">
        <v>2020</v>
      </c>
      <c r="C258" t="s">
        <v>36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>
        <v>154.5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</row>
    <row r="259" spans="1:30" x14ac:dyDescent="0.3">
      <c r="A259" t="s">
        <v>34</v>
      </c>
      <c r="B259">
        <v>2020</v>
      </c>
      <c r="C259" t="s">
        <v>36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>
        <v>154.5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</row>
    <row r="260" spans="1:30" x14ac:dyDescent="0.3">
      <c r="A260" t="s">
        <v>30</v>
      </c>
      <c r="B260">
        <v>2020</v>
      </c>
      <c r="C260" t="s">
        <v>37</v>
      </c>
      <c r="D260">
        <v>147.19999999999999</v>
      </c>
      <c r="E260" t="s">
        <v>32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O260" t="s">
        <v>32</v>
      </c>
      <c r="P260">
        <v>150.1</v>
      </c>
      <c r="Q260" t="s">
        <v>32</v>
      </c>
      <c r="R260" t="s">
        <v>32</v>
      </c>
      <c r="S260" t="s">
        <v>32</v>
      </c>
      <c r="T260" t="s">
        <v>32</v>
      </c>
      <c r="U260" t="s">
        <v>32</v>
      </c>
      <c r="V260">
        <v>148.4</v>
      </c>
      <c r="W260" t="s">
        <v>32</v>
      </c>
      <c r="X260">
        <v>154.30000000000001</v>
      </c>
      <c r="Y260" t="s">
        <v>32</v>
      </c>
      <c r="Z260" t="s">
        <v>32</v>
      </c>
      <c r="AA260" t="s">
        <v>32</v>
      </c>
      <c r="AB260" t="s">
        <v>32</v>
      </c>
      <c r="AC260" t="s">
        <v>32</v>
      </c>
      <c r="AD260" t="s">
        <v>32</v>
      </c>
    </row>
    <row r="261" spans="1:30" x14ac:dyDescent="0.3">
      <c r="A261" t="s">
        <v>33</v>
      </c>
      <c r="B261">
        <v>2020</v>
      </c>
      <c r="C261" t="s">
        <v>37</v>
      </c>
      <c r="D261">
        <v>151.80000000000001</v>
      </c>
      <c r="E261" t="s">
        <v>32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O261" t="s">
        <v>32</v>
      </c>
      <c r="P261">
        <v>153.5</v>
      </c>
      <c r="Q261" t="s">
        <v>32</v>
      </c>
      <c r="R261" t="s">
        <v>32</v>
      </c>
      <c r="S261" t="s">
        <v>32</v>
      </c>
      <c r="T261" t="s">
        <v>32</v>
      </c>
      <c r="U261">
        <v>155.6</v>
      </c>
      <c r="V261">
        <v>137.1</v>
      </c>
      <c r="W261" t="s">
        <v>32</v>
      </c>
      <c r="X261">
        <v>144.80000000000001</v>
      </c>
      <c r="Y261" t="s">
        <v>32</v>
      </c>
      <c r="Z261" t="s">
        <v>32</v>
      </c>
      <c r="AA261" t="s">
        <v>32</v>
      </c>
      <c r="AB261" t="s">
        <v>32</v>
      </c>
      <c r="AC261" t="s">
        <v>32</v>
      </c>
      <c r="AD261" t="s">
        <v>32</v>
      </c>
    </row>
    <row r="262" spans="1:30" x14ac:dyDescent="0.3">
      <c r="A262" t="s">
        <v>34</v>
      </c>
      <c r="B262">
        <v>2020</v>
      </c>
      <c r="C262" t="s">
        <v>37</v>
      </c>
      <c r="D262">
        <v>148.69999999999999</v>
      </c>
      <c r="E262" t="s">
        <v>32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O262" t="s">
        <v>32</v>
      </c>
      <c r="P262">
        <v>151.4</v>
      </c>
      <c r="Q262" t="s">
        <v>32</v>
      </c>
      <c r="R262" t="s">
        <v>32</v>
      </c>
      <c r="S262" t="s">
        <v>32</v>
      </c>
      <c r="T262" t="s">
        <v>32</v>
      </c>
      <c r="U262">
        <v>155.6</v>
      </c>
      <c r="V262">
        <v>144.1</v>
      </c>
      <c r="W262" t="s">
        <v>32</v>
      </c>
      <c r="X262">
        <v>150.69999999999999</v>
      </c>
      <c r="Y262" t="s">
        <v>32</v>
      </c>
      <c r="Z262" t="s">
        <v>32</v>
      </c>
      <c r="AA262" t="s">
        <v>32</v>
      </c>
      <c r="AB262" t="s">
        <v>32</v>
      </c>
      <c r="AC262" t="s">
        <v>32</v>
      </c>
      <c r="AD262" t="s">
        <v>32</v>
      </c>
    </row>
    <row r="263" spans="1:30" x14ac:dyDescent="0.3">
      <c r="A263" t="s">
        <v>30</v>
      </c>
      <c r="B263">
        <v>2020</v>
      </c>
      <c r="C263" t="s">
        <v>38</v>
      </c>
      <c r="D263" t="s">
        <v>32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32</v>
      </c>
      <c r="K263" t="s">
        <v>32</v>
      </c>
      <c r="L263" t="s">
        <v>32</v>
      </c>
      <c r="M263" t="s">
        <v>32</v>
      </c>
      <c r="N263" t="s">
        <v>32</v>
      </c>
      <c r="O263" t="s">
        <v>32</v>
      </c>
      <c r="P263" t="s">
        <v>32</v>
      </c>
      <c r="Q263" t="s">
        <v>32</v>
      </c>
      <c r="R263" t="s">
        <v>32</v>
      </c>
      <c r="S263" t="s">
        <v>32</v>
      </c>
      <c r="T263" t="s">
        <v>32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  <c r="AC263" t="s">
        <v>32</v>
      </c>
      <c r="AD263" t="s">
        <v>32</v>
      </c>
    </row>
    <row r="264" spans="1:30" x14ac:dyDescent="0.3">
      <c r="A264" t="s">
        <v>33</v>
      </c>
      <c r="B264">
        <v>2020</v>
      </c>
      <c r="C264" t="s">
        <v>38</v>
      </c>
      <c r="D264" t="s">
        <v>32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32</v>
      </c>
      <c r="K264" t="s">
        <v>32</v>
      </c>
      <c r="L264" t="s">
        <v>32</v>
      </c>
      <c r="M264" t="s">
        <v>32</v>
      </c>
      <c r="N264" t="s">
        <v>32</v>
      </c>
      <c r="O264" t="s">
        <v>32</v>
      </c>
      <c r="P264" t="s">
        <v>32</v>
      </c>
      <c r="Q264" t="s">
        <v>32</v>
      </c>
      <c r="R264" t="s">
        <v>32</v>
      </c>
      <c r="S264" t="s">
        <v>32</v>
      </c>
      <c r="T264" t="s">
        <v>32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  <c r="AC264" t="s">
        <v>32</v>
      </c>
      <c r="AD264" t="s">
        <v>32</v>
      </c>
    </row>
    <row r="265" spans="1:30" x14ac:dyDescent="0.3">
      <c r="A265" t="s">
        <v>34</v>
      </c>
      <c r="B265">
        <v>2020</v>
      </c>
      <c r="C265" t="s">
        <v>38</v>
      </c>
      <c r="D265" t="s">
        <v>32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32</v>
      </c>
      <c r="K265" t="s">
        <v>32</v>
      </c>
      <c r="L265" t="s">
        <v>32</v>
      </c>
      <c r="M265" t="s">
        <v>32</v>
      </c>
      <c r="N265" t="s">
        <v>32</v>
      </c>
      <c r="O265" t="s">
        <v>32</v>
      </c>
      <c r="P265" t="s">
        <v>32</v>
      </c>
      <c r="Q265" t="s">
        <v>32</v>
      </c>
      <c r="R265" t="s">
        <v>32</v>
      </c>
      <c r="S265" t="s">
        <v>32</v>
      </c>
      <c r="T265" t="s">
        <v>32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  <c r="AC265" t="s">
        <v>32</v>
      </c>
      <c r="AD265" t="s">
        <v>32</v>
      </c>
    </row>
    <row r="266" spans="1:30" x14ac:dyDescent="0.3">
      <c r="A266" t="s">
        <v>30</v>
      </c>
      <c r="B266">
        <v>2020</v>
      </c>
      <c r="C266" t="s">
        <v>39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 t="s">
        <v>32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</row>
    <row r="267" spans="1:30" x14ac:dyDescent="0.3">
      <c r="A267" t="s">
        <v>33</v>
      </c>
      <c r="B267">
        <v>2020</v>
      </c>
      <c r="C267" t="s">
        <v>39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>
        <v>154.69999999999999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</row>
    <row r="268" spans="1:30" x14ac:dyDescent="0.3">
      <c r="A268" t="s">
        <v>34</v>
      </c>
      <c r="B268">
        <v>2020</v>
      </c>
      <c r="C268" t="s">
        <v>39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>
        <v>154.69999999999999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</row>
    <row r="269" spans="1:30" x14ac:dyDescent="0.3">
      <c r="A269" t="s">
        <v>30</v>
      </c>
      <c r="B269">
        <v>2020</v>
      </c>
      <c r="C269" t="s">
        <v>40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 t="s">
        <v>32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</row>
    <row r="270" spans="1:30" x14ac:dyDescent="0.3">
      <c r="A270" t="s">
        <v>33</v>
      </c>
      <c r="B270">
        <v>2020</v>
      </c>
      <c r="C270" t="s">
        <v>40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>
        <v>154.69999999999999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</row>
    <row r="271" spans="1:30" x14ac:dyDescent="0.3">
      <c r="A271" t="s">
        <v>34</v>
      </c>
      <c r="B271">
        <v>2020</v>
      </c>
      <c r="C271" t="s">
        <v>40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>
        <v>154.69999999999999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</row>
    <row r="272" spans="1:30" x14ac:dyDescent="0.3">
      <c r="A272" t="s">
        <v>30</v>
      </c>
      <c r="B272">
        <v>2020</v>
      </c>
      <c r="C272" t="s">
        <v>41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 t="s">
        <v>32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</row>
    <row r="273" spans="1:30" x14ac:dyDescent="0.3">
      <c r="A273" t="s">
        <v>33</v>
      </c>
      <c r="B273">
        <v>2020</v>
      </c>
      <c r="C273" t="s">
        <v>41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>
        <v>155.5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</row>
    <row r="274" spans="1:30" x14ac:dyDescent="0.3">
      <c r="A274" t="s">
        <v>34</v>
      </c>
      <c r="B274">
        <v>2020</v>
      </c>
      <c r="C274" t="s">
        <v>41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>
        <v>155.5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</row>
    <row r="275" spans="1:30" x14ac:dyDescent="0.3">
      <c r="A275" t="s">
        <v>30</v>
      </c>
      <c r="B275">
        <v>2020</v>
      </c>
      <c r="C275" t="s">
        <v>42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 t="s">
        <v>32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</row>
    <row r="276" spans="1:30" x14ac:dyDescent="0.3">
      <c r="A276" t="s">
        <v>33</v>
      </c>
      <c r="B276">
        <v>2020</v>
      </c>
      <c r="C276" t="s">
        <v>42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>
        <v>156.30000000000001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</row>
    <row r="277" spans="1:30" x14ac:dyDescent="0.3">
      <c r="A277" t="s">
        <v>34</v>
      </c>
      <c r="B277">
        <v>2020</v>
      </c>
      <c r="C277" t="s">
        <v>42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>
        <v>156.30000000000001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</row>
    <row r="278" spans="1:30" x14ac:dyDescent="0.3">
      <c r="A278" t="s">
        <v>30</v>
      </c>
      <c r="B278">
        <v>2020</v>
      </c>
      <c r="C278" t="s">
        <v>43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 t="s">
        <v>32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</row>
    <row r="279" spans="1:30" x14ac:dyDescent="0.3">
      <c r="A279" t="s">
        <v>33</v>
      </c>
      <c r="B279">
        <v>2020</v>
      </c>
      <c r="C279" t="s">
        <v>43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>
        <v>156.5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</row>
    <row r="280" spans="1:30" x14ac:dyDescent="0.3">
      <c r="A280" t="s">
        <v>34</v>
      </c>
      <c r="B280">
        <v>2020</v>
      </c>
      <c r="C280" t="s">
        <v>43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>
        <v>156.5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</row>
    <row r="281" spans="1:30" x14ac:dyDescent="0.3">
      <c r="A281" t="s">
        <v>30</v>
      </c>
      <c r="B281">
        <v>2020</v>
      </c>
      <c r="C281" t="s">
        <v>45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 t="s">
        <v>32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</row>
    <row r="282" spans="1:30" x14ac:dyDescent="0.3">
      <c r="A282" t="s">
        <v>33</v>
      </c>
      <c r="B282">
        <v>2020</v>
      </c>
      <c r="C282" t="s">
        <v>45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>
        <v>158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</row>
    <row r="283" spans="1:30" x14ac:dyDescent="0.3">
      <c r="A283" t="s">
        <v>34</v>
      </c>
      <c r="B283">
        <v>2020</v>
      </c>
      <c r="C283" t="s">
        <v>45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>
        <v>158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</row>
    <row r="284" spans="1:30" x14ac:dyDescent="0.3">
      <c r="A284" t="s">
        <v>30</v>
      </c>
      <c r="B284">
        <v>2020</v>
      </c>
      <c r="C284" t="s">
        <v>46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 t="s">
        <v>32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</row>
    <row r="285" spans="1:30" x14ac:dyDescent="0.3">
      <c r="A285" t="s">
        <v>33</v>
      </c>
      <c r="B285">
        <v>2020</v>
      </c>
      <c r="C285" t="s">
        <v>46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>
        <v>158.4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</row>
    <row r="286" spans="1:30" x14ac:dyDescent="0.3">
      <c r="A286" t="s">
        <v>34</v>
      </c>
      <c r="B286">
        <v>2020</v>
      </c>
      <c r="C286" t="s">
        <v>46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>
        <v>158.4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</row>
    <row r="287" spans="1:30" x14ac:dyDescent="0.3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 t="s">
        <v>32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</row>
    <row r="288" spans="1:30" x14ac:dyDescent="0.3">
      <c r="A288" t="s">
        <v>33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>
        <v>157.69999999999999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</row>
    <row r="289" spans="1:30" x14ac:dyDescent="0.3">
      <c r="A289" t="s">
        <v>34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>
        <v>157.69999999999999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</row>
    <row r="290" spans="1:30" x14ac:dyDescent="0.3">
      <c r="A290" t="s">
        <v>30</v>
      </c>
      <c r="B290">
        <v>2021</v>
      </c>
      <c r="C290" t="s">
        <v>35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 t="s">
        <v>32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</row>
    <row r="291" spans="1:30" x14ac:dyDescent="0.3">
      <c r="A291" t="s">
        <v>33</v>
      </c>
      <c r="B291">
        <v>2021</v>
      </c>
      <c r="C291" t="s">
        <v>35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>
        <v>159.80000000000001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</row>
    <row r="292" spans="1:30" x14ac:dyDescent="0.3">
      <c r="A292" t="s">
        <v>34</v>
      </c>
      <c r="B292">
        <v>2021</v>
      </c>
      <c r="C292" t="s">
        <v>35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>
        <v>159.80000000000001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</row>
    <row r="293" spans="1:30" x14ac:dyDescent="0.3">
      <c r="A293" t="s">
        <v>30</v>
      </c>
      <c r="B293">
        <v>2021</v>
      </c>
      <c r="C293" t="s">
        <v>36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 t="s">
        <v>48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</row>
    <row r="294" spans="1:30" x14ac:dyDescent="0.3">
      <c r="A294" t="s">
        <v>33</v>
      </c>
      <c r="B294">
        <v>2021</v>
      </c>
      <c r="C294" t="s">
        <v>36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>
        <v>159.9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</row>
    <row r="295" spans="1:30" x14ac:dyDescent="0.3">
      <c r="A295" t="s">
        <v>34</v>
      </c>
      <c r="B295">
        <v>2021</v>
      </c>
      <c r="C295" t="s">
        <v>36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>
        <v>159.9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</row>
    <row r="296" spans="1:30" x14ac:dyDescent="0.3">
      <c r="A296" t="s">
        <v>30</v>
      </c>
      <c r="B296">
        <v>2021</v>
      </c>
      <c r="C296" t="s">
        <v>37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 t="s">
        <v>48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</row>
    <row r="297" spans="1:30" x14ac:dyDescent="0.3">
      <c r="A297" t="s">
        <v>33</v>
      </c>
      <c r="B297">
        <v>2021</v>
      </c>
      <c r="C297" t="s">
        <v>37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>
        <v>161.4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</row>
    <row r="298" spans="1:30" x14ac:dyDescent="0.3">
      <c r="A298" t="s">
        <v>34</v>
      </c>
      <c r="B298">
        <v>2021</v>
      </c>
      <c r="C298" t="s">
        <v>37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>
        <v>161.4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</row>
    <row r="299" spans="1:30" x14ac:dyDescent="0.3">
      <c r="A299" t="s">
        <v>30</v>
      </c>
      <c r="B299">
        <v>2021</v>
      </c>
      <c r="C299" t="s">
        <v>38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 t="s">
        <v>32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</row>
    <row r="300" spans="1:30" x14ac:dyDescent="0.3">
      <c r="A300" t="s">
        <v>33</v>
      </c>
      <c r="B300">
        <v>2021</v>
      </c>
      <c r="C300" t="s">
        <v>38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>
        <v>161.6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</row>
    <row r="301" spans="1:30" x14ac:dyDescent="0.3">
      <c r="A301" t="s">
        <v>34</v>
      </c>
      <c r="B301">
        <v>2021</v>
      </c>
      <c r="C301" t="s">
        <v>38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>
        <v>161.6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</row>
    <row r="302" spans="1:30" x14ac:dyDescent="0.3">
      <c r="A302" t="s">
        <v>30</v>
      </c>
      <c r="B302">
        <v>2021</v>
      </c>
      <c r="C302" t="s">
        <v>39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 t="s">
        <v>32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</row>
    <row r="303" spans="1:30" x14ac:dyDescent="0.3">
      <c r="A303" t="s">
        <v>33</v>
      </c>
      <c r="B303">
        <v>2021</v>
      </c>
      <c r="C303" t="s">
        <v>39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>
        <v>160.5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</row>
    <row r="304" spans="1:30" x14ac:dyDescent="0.3">
      <c r="A304" t="s">
        <v>34</v>
      </c>
      <c r="B304">
        <v>2021</v>
      </c>
      <c r="C304" t="s">
        <v>39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>
        <v>160.5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</row>
    <row r="305" spans="1:30" x14ac:dyDescent="0.3">
      <c r="A305" t="s">
        <v>30</v>
      </c>
      <c r="B305">
        <v>2021</v>
      </c>
      <c r="C305" t="s">
        <v>40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 t="s">
        <v>32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</row>
    <row r="306" spans="1:30" x14ac:dyDescent="0.3">
      <c r="A306" t="s">
        <v>33</v>
      </c>
      <c r="B306">
        <v>2021</v>
      </c>
      <c r="C306" t="s">
        <v>40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>
        <v>161.5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</row>
    <row r="307" spans="1:30" x14ac:dyDescent="0.3">
      <c r="A307" t="s">
        <v>34</v>
      </c>
      <c r="B307">
        <v>2021</v>
      </c>
      <c r="C307" t="s">
        <v>40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>
        <v>161.5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</row>
    <row r="308" spans="1:30" x14ac:dyDescent="0.3">
      <c r="A308" t="s">
        <v>30</v>
      </c>
      <c r="B308">
        <v>2021</v>
      </c>
      <c r="C308" t="s">
        <v>41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 t="s">
        <v>32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</row>
    <row r="309" spans="1:30" x14ac:dyDescent="0.3">
      <c r="A309" t="s">
        <v>33</v>
      </c>
      <c r="B309">
        <v>2021</v>
      </c>
      <c r="C309" t="s">
        <v>41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>
        <v>162.1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</row>
    <row r="310" spans="1:30" x14ac:dyDescent="0.3">
      <c r="A310" t="s">
        <v>34</v>
      </c>
      <c r="B310">
        <v>2021</v>
      </c>
      <c r="C310" t="s">
        <v>41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>
        <v>162.1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</row>
    <row r="311" spans="1:30" x14ac:dyDescent="0.3">
      <c r="A311" t="s">
        <v>30</v>
      </c>
      <c r="B311">
        <v>2021</v>
      </c>
      <c r="C311" t="s">
        <v>42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 t="s">
        <v>32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</row>
    <row r="312" spans="1:30" x14ac:dyDescent="0.3">
      <c r="A312" t="s">
        <v>33</v>
      </c>
      <c r="B312">
        <v>2021</v>
      </c>
      <c r="C312" t="s">
        <v>42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>
        <v>162.1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</row>
    <row r="313" spans="1:30" x14ac:dyDescent="0.3">
      <c r="A313" t="s">
        <v>34</v>
      </c>
      <c r="B313">
        <v>2021</v>
      </c>
      <c r="C313" t="s">
        <v>42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>
        <v>162.1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</row>
    <row r="314" spans="1:30" x14ac:dyDescent="0.3">
      <c r="A314" t="s">
        <v>30</v>
      </c>
      <c r="B314">
        <v>2021</v>
      </c>
      <c r="C314" t="s">
        <v>43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 t="s">
        <v>32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</row>
    <row r="315" spans="1:30" x14ac:dyDescent="0.3">
      <c r="A315" t="s">
        <v>33</v>
      </c>
      <c r="B315">
        <v>2021</v>
      </c>
      <c r="C315" t="s">
        <v>43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>
        <v>163.6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</row>
    <row r="316" spans="1:30" x14ac:dyDescent="0.3">
      <c r="A316" t="s">
        <v>34</v>
      </c>
      <c r="B316">
        <v>2021</v>
      </c>
      <c r="C316" t="s">
        <v>43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>
        <v>163.6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</row>
    <row r="317" spans="1:30" x14ac:dyDescent="0.3">
      <c r="A317" t="s">
        <v>30</v>
      </c>
      <c r="B317">
        <v>2021</v>
      </c>
      <c r="C317" t="s">
        <v>45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 t="s">
        <v>32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</row>
    <row r="318" spans="1:30" x14ac:dyDescent="0.3">
      <c r="A318" t="s">
        <v>33</v>
      </c>
      <c r="B318">
        <v>2021</v>
      </c>
      <c r="C318" t="s">
        <v>45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>
        <v>164.2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</row>
    <row r="319" spans="1:30" x14ac:dyDescent="0.3">
      <c r="A319" t="s">
        <v>34</v>
      </c>
      <c r="B319">
        <v>2021</v>
      </c>
      <c r="C319" t="s">
        <v>45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>
        <v>164.2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</row>
    <row r="320" spans="1:30" x14ac:dyDescent="0.3">
      <c r="A320" t="s">
        <v>30</v>
      </c>
      <c r="B320">
        <v>2021</v>
      </c>
      <c r="C320" t="s">
        <v>46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 t="s">
        <v>32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</row>
    <row r="321" spans="1:30" x14ac:dyDescent="0.3">
      <c r="A321" t="s">
        <v>33</v>
      </c>
      <c r="B321">
        <v>2021</v>
      </c>
      <c r="C321" t="s">
        <v>46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>
        <v>163.4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</row>
    <row r="322" spans="1:30" x14ac:dyDescent="0.3">
      <c r="A322" t="s">
        <v>34</v>
      </c>
      <c r="B322">
        <v>2021</v>
      </c>
      <c r="C322" t="s">
        <v>46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>
        <v>163.4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</row>
    <row r="323" spans="1:30" x14ac:dyDescent="0.3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 t="s">
        <v>32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</row>
    <row r="324" spans="1:30" x14ac:dyDescent="0.3">
      <c r="A324" t="s">
        <v>33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>
        <v>164.5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</row>
    <row r="325" spans="1:30" x14ac:dyDescent="0.3">
      <c r="A325" t="s">
        <v>34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>
        <v>164.5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</row>
    <row r="326" spans="1:30" x14ac:dyDescent="0.3">
      <c r="A326" t="s">
        <v>30</v>
      </c>
      <c r="B326">
        <v>2022</v>
      </c>
      <c r="C326" t="s">
        <v>35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 t="s">
        <v>32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</row>
    <row r="327" spans="1:30" x14ac:dyDescent="0.3">
      <c r="A327" t="s">
        <v>33</v>
      </c>
      <c r="B327">
        <v>2022</v>
      </c>
      <c r="C327" t="s">
        <v>35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>
        <v>165.5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</row>
    <row r="328" spans="1:30" x14ac:dyDescent="0.3">
      <c r="A328" t="s">
        <v>34</v>
      </c>
      <c r="B328">
        <v>2022</v>
      </c>
      <c r="C328" t="s">
        <v>35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>
        <v>165.5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</row>
    <row r="329" spans="1:30" x14ac:dyDescent="0.3">
      <c r="A329" t="s">
        <v>30</v>
      </c>
      <c r="B329">
        <v>2022</v>
      </c>
      <c r="C329" t="s">
        <v>36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 t="s">
        <v>32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</row>
    <row r="330" spans="1:30" x14ac:dyDescent="0.3">
      <c r="A330" t="s">
        <v>33</v>
      </c>
      <c r="B330">
        <v>2022</v>
      </c>
      <c r="C330" t="s">
        <v>36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>
        <v>165.3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</row>
    <row r="331" spans="1:30" x14ac:dyDescent="0.3">
      <c r="A331" t="s">
        <v>34</v>
      </c>
      <c r="B331">
        <v>2022</v>
      </c>
      <c r="C331" t="s">
        <v>36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>
        <v>165.3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</row>
    <row r="332" spans="1:30" x14ac:dyDescent="0.3">
      <c r="A332" t="s">
        <v>30</v>
      </c>
      <c r="B332">
        <v>2022</v>
      </c>
      <c r="C332" t="s">
        <v>37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 t="s">
        <v>32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</row>
    <row r="333" spans="1:30" x14ac:dyDescent="0.3">
      <c r="A333" t="s">
        <v>33</v>
      </c>
      <c r="B333">
        <v>2022</v>
      </c>
      <c r="C333" t="s">
        <v>37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>
        <v>167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</row>
    <row r="334" spans="1:30" x14ac:dyDescent="0.3">
      <c r="A334" t="s">
        <v>34</v>
      </c>
      <c r="B334">
        <v>2022</v>
      </c>
      <c r="C334" t="s">
        <v>37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>
        <v>167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</row>
    <row r="335" spans="1:30" x14ac:dyDescent="0.3">
      <c r="A335" t="s">
        <v>30</v>
      </c>
      <c r="B335">
        <v>2022</v>
      </c>
      <c r="C335" t="s">
        <v>38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 t="s">
        <v>32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</row>
    <row r="336" spans="1:30" x14ac:dyDescent="0.3">
      <c r="A336" t="s">
        <v>33</v>
      </c>
      <c r="B336">
        <v>2022</v>
      </c>
      <c r="C336" t="s">
        <v>38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>
        <v>167.5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</row>
    <row r="337" spans="1:30" x14ac:dyDescent="0.3">
      <c r="A337" t="s">
        <v>34</v>
      </c>
      <c r="B337">
        <v>2022</v>
      </c>
      <c r="C337" t="s">
        <v>38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>
        <v>167.5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</row>
    <row r="338" spans="1:30" x14ac:dyDescent="0.3">
      <c r="A338" t="s">
        <v>30</v>
      </c>
      <c r="B338">
        <v>2022</v>
      </c>
      <c r="C338" t="s">
        <v>39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 t="s">
        <v>32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</row>
    <row r="339" spans="1:30" x14ac:dyDescent="0.3">
      <c r="A339" t="s">
        <v>33</v>
      </c>
      <c r="B339">
        <v>2022</v>
      </c>
      <c r="C339" t="s">
        <v>39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>
        <v>166.8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</row>
    <row r="340" spans="1:30" x14ac:dyDescent="0.3">
      <c r="A340" t="s">
        <v>34</v>
      </c>
      <c r="B340">
        <v>2022</v>
      </c>
      <c r="C340" t="s">
        <v>39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>
        <v>166.8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</row>
    <row r="341" spans="1:30" x14ac:dyDescent="0.3">
      <c r="A341" t="s">
        <v>30</v>
      </c>
      <c r="B341">
        <v>2022</v>
      </c>
      <c r="C341" t="s">
        <v>40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 t="s">
        <v>32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</row>
    <row r="342" spans="1:30" x14ac:dyDescent="0.3">
      <c r="A342" t="s">
        <v>33</v>
      </c>
      <c r="B342">
        <v>2022</v>
      </c>
      <c r="C342" t="s">
        <v>40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>
        <v>167.8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</row>
    <row r="343" spans="1:30" x14ac:dyDescent="0.3">
      <c r="A343" t="s">
        <v>34</v>
      </c>
      <c r="B343">
        <v>2022</v>
      </c>
      <c r="C343" t="s">
        <v>40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>
        <v>167.8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</row>
    <row r="344" spans="1:30" x14ac:dyDescent="0.3">
      <c r="A344" t="s">
        <v>30</v>
      </c>
      <c r="B344">
        <v>2022</v>
      </c>
      <c r="C344" t="s">
        <v>41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 t="s">
        <v>32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</row>
    <row r="345" spans="1:30" x14ac:dyDescent="0.3">
      <c r="A345" t="s">
        <v>33</v>
      </c>
      <c r="B345">
        <v>2022</v>
      </c>
      <c r="C345" t="s">
        <v>41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>
        <v>169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</row>
    <row r="346" spans="1:30" x14ac:dyDescent="0.3">
      <c r="A346" t="s">
        <v>34</v>
      </c>
      <c r="B346">
        <v>2022</v>
      </c>
      <c r="C346" t="s">
        <v>41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>
        <v>169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</row>
    <row r="347" spans="1:30" x14ac:dyDescent="0.3">
      <c r="A347" t="s">
        <v>30</v>
      </c>
      <c r="B347">
        <v>2022</v>
      </c>
      <c r="C347" t="s">
        <v>42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 t="s">
        <v>32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</row>
    <row r="348" spans="1:30" x14ac:dyDescent="0.3">
      <c r="A348" t="s">
        <v>33</v>
      </c>
      <c r="B348">
        <v>2022</v>
      </c>
      <c r="C348" t="s">
        <v>42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>
        <v>169.5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</row>
    <row r="349" spans="1:30" x14ac:dyDescent="0.3">
      <c r="A349" t="s">
        <v>34</v>
      </c>
      <c r="B349">
        <v>2022</v>
      </c>
      <c r="C349" t="s">
        <v>42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>
        <v>169.5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</row>
    <row r="350" spans="1:30" x14ac:dyDescent="0.3">
      <c r="A350" t="s">
        <v>30</v>
      </c>
      <c r="B350">
        <v>2022</v>
      </c>
      <c r="C350" t="s">
        <v>43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 t="s">
        <v>32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</row>
    <row r="351" spans="1:30" x14ac:dyDescent="0.3">
      <c r="A351" t="s">
        <v>33</v>
      </c>
      <c r="B351">
        <v>2022</v>
      </c>
      <c r="C351" t="s">
        <v>43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>
        <v>171.2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</row>
    <row r="352" spans="1:30" x14ac:dyDescent="0.3">
      <c r="A352" t="s">
        <v>34</v>
      </c>
      <c r="B352">
        <v>2022</v>
      </c>
      <c r="C352" t="s">
        <v>43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>
        <v>171.2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</row>
    <row r="353" spans="1:30" x14ac:dyDescent="0.3">
      <c r="A353" t="s">
        <v>30</v>
      </c>
      <c r="B353">
        <v>2022</v>
      </c>
      <c r="C353" t="s">
        <v>45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 t="s">
        <v>32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</row>
    <row r="354" spans="1:30" x14ac:dyDescent="0.3">
      <c r="A354" t="s">
        <v>33</v>
      </c>
      <c r="B354">
        <v>2022</v>
      </c>
      <c r="C354" t="s">
        <v>45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>
        <v>171.8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</row>
    <row r="355" spans="1:30" x14ac:dyDescent="0.3">
      <c r="A355" t="s">
        <v>34</v>
      </c>
      <c r="B355">
        <v>2022</v>
      </c>
      <c r="C355" t="s">
        <v>45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>
        <v>171.8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</row>
    <row r="356" spans="1:30" x14ac:dyDescent="0.3">
      <c r="A356" t="s">
        <v>30</v>
      </c>
      <c r="B356">
        <v>2022</v>
      </c>
      <c r="C356" t="s">
        <v>46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 t="s">
        <v>32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</row>
    <row r="357" spans="1:30" x14ac:dyDescent="0.3">
      <c r="A357" t="s">
        <v>33</v>
      </c>
      <c r="B357">
        <v>2022</v>
      </c>
      <c r="C357" t="s">
        <v>46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>
        <v>170.7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</row>
    <row r="358" spans="1:30" x14ac:dyDescent="0.3">
      <c r="A358" t="s">
        <v>34</v>
      </c>
      <c r="B358">
        <v>2022</v>
      </c>
      <c r="C358" t="s">
        <v>46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>
        <v>170.7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</row>
    <row r="359" spans="1:30" x14ac:dyDescent="0.3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 t="s">
        <v>32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</row>
    <row r="360" spans="1:30" x14ac:dyDescent="0.3">
      <c r="A360" t="s">
        <v>33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>
        <v>172.1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</row>
    <row r="361" spans="1:30" x14ac:dyDescent="0.3">
      <c r="A361" t="s">
        <v>34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>
        <v>172.1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</row>
    <row r="362" spans="1:30" x14ac:dyDescent="0.3">
      <c r="A362" t="s">
        <v>30</v>
      </c>
      <c r="B362">
        <v>2023</v>
      </c>
      <c r="C362" t="s">
        <v>35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 t="s">
        <v>32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</row>
    <row r="363" spans="1:30" x14ac:dyDescent="0.3">
      <c r="A363" t="s">
        <v>33</v>
      </c>
      <c r="B363">
        <v>2023</v>
      </c>
      <c r="C363" t="s">
        <v>35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>
        <v>173.5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</row>
    <row r="364" spans="1:30" x14ac:dyDescent="0.3">
      <c r="A364" t="s">
        <v>34</v>
      </c>
      <c r="B364">
        <v>2023</v>
      </c>
      <c r="C364" t="s">
        <v>35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>
        <v>173.5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</row>
    <row r="365" spans="1:30" x14ac:dyDescent="0.3">
      <c r="A365" t="s">
        <v>30</v>
      </c>
      <c r="B365">
        <v>2023</v>
      </c>
      <c r="C365" t="s">
        <v>36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 t="s">
        <v>32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</row>
    <row r="366" spans="1:30" x14ac:dyDescent="0.3">
      <c r="A366" t="s">
        <v>33</v>
      </c>
      <c r="B366">
        <v>2023</v>
      </c>
      <c r="C366" t="s">
        <v>36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>
        <v>173.5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</row>
    <row r="367" spans="1:30" x14ac:dyDescent="0.3">
      <c r="A367" t="s">
        <v>34</v>
      </c>
      <c r="B367">
        <v>2023</v>
      </c>
      <c r="C367" t="s">
        <v>36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>
        <v>173.5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</row>
    <row r="368" spans="1:30" x14ac:dyDescent="0.3">
      <c r="A368" t="s">
        <v>30</v>
      </c>
      <c r="B368">
        <v>2023</v>
      </c>
      <c r="C368" t="s">
        <v>37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 t="s">
        <v>48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</row>
    <row r="369" spans="1:30" x14ac:dyDescent="0.3">
      <c r="A369" t="s">
        <v>33</v>
      </c>
      <c r="B369">
        <v>2023</v>
      </c>
      <c r="C369" t="s">
        <v>37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>
        <v>175.2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</row>
    <row r="370" spans="1:30" x14ac:dyDescent="0.3">
      <c r="A370" t="s">
        <v>34</v>
      </c>
      <c r="B370">
        <v>2023</v>
      </c>
      <c r="C370" t="s">
        <v>37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>
        <v>175.2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D370">
        <v>178.1</v>
      </c>
    </row>
    <row r="371" spans="1:30" x14ac:dyDescent="0.3">
      <c r="A371" t="s">
        <v>30</v>
      </c>
      <c r="B371">
        <v>2023</v>
      </c>
      <c r="C371" t="s">
        <v>38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 t="s">
        <v>48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</row>
    <row r="372" spans="1:30" x14ac:dyDescent="0.3">
      <c r="A372" t="s">
        <v>33</v>
      </c>
      <c r="B372">
        <v>2023</v>
      </c>
      <c r="C372" t="s">
        <v>38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>
        <v>175.6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</row>
    <row r="373" spans="1:30" x14ac:dyDescent="0.3">
      <c r="A373" t="s">
        <v>34</v>
      </c>
      <c r="B373">
        <v>2023</v>
      </c>
      <c r="C373" t="s">
        <v>38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>
        <v>175.6</v>
      </c>
      <c r="V373">
        <v>182.8</v>
      </c>
      <c r="W373">
        <v>175.2</v>
      </c>
      <c r="X373">
        <v>185.7</v>
      </c>
      <c r="Y373">
        <v>164.8</v>
      </c>
      <c r="Z373">
        <v>171.2</v>
      </c>
      <c r="AA373">
        <v>177.1</v>
      </c>
      <c r="AB373">
        <v>185.2</v>
      </c>
      <c r="AC373">
        <v>175.7</v>
      </c>
      <c r="AD373">
        <v>179.1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97E24-744D-4A7A-8988-884F0632293B}">
  <dimension ref="A1:BI30"/>
  <sheetViews>
    <sheetView workbookViewId="0">
      <selection activeCell="J19" sqref="J19"/>
    </sheetView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131</v>
      </c>
      <c r="F1" t="s">
        <v>4</v>
      </c>
      <c r="G1" s="75" t="s">
        <v>132</v>
      </c>
      <c r="H1" t="s">
        <v>5</v>
      </c>
      <c r="I1" s="75" t="s">
        <v>133</v>
      </c>
      <c r="J1" t="s">
        <v>6</v>
      </c>
      <c r="K1" t="s">
        <v>134</v>
      </c>
      <c r="L1" t="s">
        <v>7</v>
      </c>
      <c r="M1" t="s">
        <v>135</v>
      </c>
      <c r="N1" t="s">
        <v>8</v>
      </c>
      <c r="O1" t="s">
        <v>136</v>
      </c>
      <c r="P1" t="s">
        <v>9</v>
      </c>
      <c r="Q1" t="s">
        <v>137</v>
      </c>
      <c r="R1" t="s">
        <v>10</v>
      </c>
      <c r="S1" t="s">
        <v>138</v>
      </c>
      <c r="T1" t="s">
        <v>11</v>
      </c>
      <c r="U1" t="s">
        <v>139</v>
      </c>
      <c r="V1" t="s">
        <v>12</v>
      </c>
      <c r="W1" t="s">
        <v>140</v>
      </c>
      <c r="X1" t="s">
        <v>13</v>
      </c>
      <c r="Y1" t="s">
        <v>141</v>
      </c>
      <c r="Z1" t="s">
        <v>14</v>
      </c>
      <c r="AA1" t="s">
        <v>142</v>
      </c>
      <c r="AB1" t="s">
        <v>15</v>
      </c>
      <c r="AC1" t="s">
        <v>143</v>
      </c>
      <c r="AD1" s="76" t="s">
        <v>144</v>
      </c>
      <c r="AE1" t="s">
        <v>16</v>
      </c>
      <c r="AF1" t="s">
        <v>145</v>
      </c>
      <c r="AG1" t="s">
        <v>17</v>
      </c>
      <c r="AH1" t="s">
        <v>146</v>
      </c>
      <c r="AI1" t="s">
        <v>18</v>
      </c>
      <c r="AJ1" t="s">
        <v>147</v>
      </c>
      <c r="AK1" t="s">
        <v>19</v>
      </c>
      <c r="AL1" t="s">
        <v>148</v>
      </c>
      <c r="AM1" s="29" t="s">
        <v>149</v>
      </c>
      <c r="AN1" t="s">
        <v>20</v>
      </c>
      <c r="AO1" t="s">
        <v>150</v>
      </c>
      <c r="AP1" t="s">
        <v>21</v>
      </c>
      <c r="AQ1" t="s">
        <v>151</v>
      </c>
      <c r="AR1" t="s">
        <v>22</v>
      </c>
      <c r="AS1" t="s">
        <v>152</v>
      </c>
      <c r="AT1" t="s">
        <v>23</v>
      </c>
      <c r="AU1" t="s">
        <v>153</v>
      </c>
      <c r="AV1" t="s">
        <v>24</v>
      </c>
      <c r="AW1" t="s">
        <v>154</v>
      </c>
      <c r="AX1" t="s">
        <v>25</v>
      </c>
      <c r="AY1" t="s">
        <v>155</v>
      </c>
      <c r="AZ1" t="s">
        <v>26</v>
      </c>
      <c r="BA1" t="s">
        <v>156</v>
      </c>
      <c r="BB1" t="s">
        <v>27</v>
      </c>
      <c r="BC1" t="s">
        <v>157</v>
      </c>
      <c r="BD1" t="s">
        <v>28</v>
      </c>
      <c r="BE1" t="s">
        <v>158</v>
      </c>
      <c r="BF1" t="s">
        <v>29</v>
      </c>
      <c r="BG1" t="s">
        <v>159</v>
      </c>
      <c r="BH1" t="s">
        <v>160</v>
      </c>
      <c r="BI1" t="s">
        <v>161</v>
      </c>
    </row>
    <row r="2" spans="1:61" x14ac:dyDescent="0.3">
      <c r="A2" t="s">
        <v>34</v>
      </c>
      <c r="B2">
        <v>2021</v>
      </c>
      <c r="C2" t="s">
        <v>31</v>
      </c>
      <c r="D2">
        <v>144.9</v>
      </c>
      <c r="E2" s="75">
        <v>-0.75342465753419674</v>
      </c>
      <c r="F2">
        <v>190.1</v>
      </c>
      <c r="G2" s="75">
        <v>-0.47120418848167844</v>
      </c>
      <c r="H2">
        <v>175.3</v>
      </c>
      <c r="I2" s="75">
        <v>0</v>
      </c>
      <c r="J2">
        <v>154.1</v>
      </c>
      <c r="K2" s="77">
        <v>0</v>
      </c>
      <c r="L2">
        <v>150.9</v>
      </c>
      <c r="M2" s="77">
        <v>2.9331514324693018</v>
      </c>
      <c r="N2">
        <v>149.6</v>
      </c>
      <c r="O2" s="77">
        <v>1.2863913337846924</v>
      </c>
      <c r="P2">
        <v>194.2</v>
      </c>
      <c r="Q2" s="77">
        <v>-15.748373101952282</v>
      </c>
      <c r="R2">
        <v>160.4</v>
      </c>
      <c r="S2" s="77">
        <v>0.12484394506866181</v>
      </c>
      <c r="T2">
        <v>114.6</v>
      </c>
      <c r="U2" s="77">
        <v>-0.60711188204683708</v>
      </c>
      <c r="V2">
        <v>164</v>
      </c>
      <c r="W2" s="77">
        <v>0.61349693251533211</v>
      </c>
      <c r="X2">
        <v>151.80000000000001</v>
      </c>
      <c r="Y2" s="77">
        <v>1.742627345844511</v>
      </c>
      <c r="Z2">
        <v>165.6</v>
      </c>
      <c r="AA2" s="77">
        <v>0.48543689320388239</v>
      </c>
      <c r="AB2">
        <v>161</v>
      </c>
      <c r="AC2" s="77">
        <v>-2.6602176541717029</v>
      </c>
      <c r="AD2" s="78">
        <v>159.73076923076923</v>
      </c>
      <c r="AE2">
        <v>186.5</v>
      </c>
      <c r="AF2" s="77">
        <v>0.5933117583603007</v>
      </c>
      <c r="AG2">
        <v>155.5</v>
      </c>
      <c r="AH2" s="77">
        <v>0.32258064516128115</v>
      </c>
      <c r="AI2">
        <v>146.1</v>
      </c>
      <c r="AJ2" s="77">
        <v>0.48143053645115685</v>
      </c>
      <c r="AK2">
        <v>154.19999999999999</v>
      </c>
      <c r="AL2" s="77">
        <v>0.390625</v>
      </c>
      <c r="AM2" s="78">
        <v>151.93333333333334</v>
      </c>
      <c r="AN2">
        <v>157.69999999999999</v>
      </c>
      <c r="AO2" s="77">
        <v>-0.44191919191919737</v>
      </c>
      <c r="AP2">
        <v>147.9</v>
      </c>
      <c r="AQ2" s="77">
        <v>2.2821576763485609</v>
      </c>
      <c r="AR2">
        <v>150</v>
      </c>
      <c r="AS2" s="77">
        <v>0.20040080160322304</v>
      </c>
      <c r="AT2">
        <v>159.30000000000001</v>
      </c>
      <c r="AU2" s="77">
        <v>0.63171193935565384</v>
      </c>
      <c r="AV2">
        <v>141.9</v>
      </c>
      <c r="AW2" s="77">
        <v>0.8528784648187866</v>
      </c>
      <c r="AX2">
        <v>149.6</v>
      </c>
      <c r="AY2" s="77">
        <v>0.74074074074073337</v>
      </c>
      <c r="AZ2">
        <v>159.19999999999999</v>
      </c>
      <c r="BA2" s="77">
        <v>-0.12547051442911084</v>
      </c>
      <c r="BB2">
        <v>156.80000000000001</v>
      </c>
      <c r="BC2" s="77">
        <v>-0.19096117122850842</v>
      </c>
      <c r="BD2">
        <v>151.9</v>
      </c>
      <c r="BE2" s="77">
        <v>0.46296296296297612</v>
      </c>
      <c r="BF2">
        <v>157.30000000000001</v>
      </c>
      <c r="BG2" s="77">
        <v>-1.0069225928256742</v>
      </c>
      <c r="BH2">
        <v>52.2</v>
      </c>
      <c r="BI2" s="78">
        <v>4.6931407942238224</v>
      </c>
    </row>
    <row r="3" spans="1:61" x14ac:dyDescent="0.3">
      <c r="A3" t="s">
        <v>34</v>
      </c>
      <c r="B3">
        <v>2021</v>
      </c>
      <c r="C3" t="s">
        <v>35</v>
      </c>
      <c r="D3">
        <v>144.30000000000001</v>
      </c>
      <c r="E3" s="75">
        <v>-0.41407867494824302</v>
      </c>
      <c r="F3">
        <v>186.5</v>
      </c>
      <c r="G3" s="75">
        <v>-1.8937401367701199</v>
      </c>
      <c r="H3">
        <v>168.7</v>
      </c>
      <c r="I3" s="75">
        <v>-3.7649743297204878</v>
      </c>
      <c r="J3">
        <v>154.69999999999999</v>
      </c>
      <c r="K3" s="77">
        <v>0.38935756002595667</v>
      </c>
      <c r="L3">
        <v>158.69999999999999</v>
      </c>
      <c r="M3" s="77">
        <v>5.1689860834990071</v>
      </c>
      <c r="N3">
        <v>150.69999999999999</v>
      </c>
      <c r="O3" s="77">
        <v>0.73529411764705799</v>
      </c>
      <c r="P3">
        <v>160</v>
      </c>
      <c r="Q3" s="77">
        <v>-17.610710607621002</v>
      </c>
      <c r="R3">
        <v>158.80000000000001</v>
      </c>
      <c r="S3" s="77">
        <v>-0.99750623441396158</v>
      </c>
      <c r="T3">
        <v>112.8</v>
      </c>
      <c r="U3" s="77">
        <v>-1.5706806282722425</v>
      </c>
      <c r="V3">
        <v>164.2</v>
      </c>
      <c r="W3" s="77">
        <v>0.12195121951219789</v>
      </c>
      <c r="X3">
        <v>155.5</v>
      </c>
      <c r="Y3" s="77">
        <v>2.4374176548089537</v>
      </c>
      <c r="Z3">
        <v>167.5</v>
      </c>
      <c r="AA3" s="77">
        <v>1.1473429951690832</v>
      </c>
      <c r="AB3">
        <v>156.9</v>
      </c>
      <c r="AC3" s="77">
        <v>-2.5465838509316683</v>
      </c>
      <c r="AD3" s="78">
        <v>156.8692307692308</v>
      </c>
      <c r="AE3">
        <v>188.3</v>
      </c>
      <c r="AF3" s="77">
        <v>0.96514745308311944</v>
      </c>
      <c r="AG3">
        <v>157.19999999999999</v>
      </c>
      <c r="AH3" s="77">
        <v>1.0932475884244468</v>
      </c>
      <c r="AI3">
        <v>147.4</v>
      </c>
      <c r="AJ3" s="77">
        <v>0.88980150581794248</v>
      </c>
      <c r="AK3">
        <v>155.80000000000001</v>
      </c>
      <c r="AL3" s="77">
        <v>1.0376134889753814</v>
      </c>
      <c r="AM3" s="78">
        <v>153.46666666666667</v>
      </c>
      <c r="AN3">
        <v>159.80000000000001</v>
      </c>
      <c r="AO3" s="77">
        <v>1.3316423589093489</v>
      </c>
      <c r="AP3">
        <v>152.4</v>
      </c>
      <c r="AQ3" s="77">
        <v>3.0425963488843735</v>
      </c>
      <c r="AR3">
        <v>150.9</v>
      </c>
      <c r="AS3" s="77">
        <v>0.59999999999999432</v>
      </c>
      <c r="AT3">
        <v>161.30000000000001</v>
      </c>
      <c r="AU3" s="77">
        <v>1.255492780916498</v>
      </c>
      <c r="AV3">
        <v>145.1</v>
      </c>
      <c r="AW3" s="77">
        <v>2.2551092318534103</v>
      </c>
      <c r="AX3">
        <v>151.5</v>
      </c>
      <c r="AY3" s="77">
        <v>1.2700534759358248</v>
      </c>
      <c r="AZ3">
        <v>159.5</v>
      </c>
      <c r="BA3" s="77">
        <v>0.18844221105527481</v>
      </c>
      <c r="BB3">
        <v>155.80000000000001</v>
      </c>
      <c r="BC3" s="77">
        <v>-0.63775510204081343</v>
      </c>
      <c r="BD3">
        <v>153.4</v>
      </c>
      <c r="BE3" s="77">
        <v>0.98749177090191154</v>
      </c>
      <c r="BF3">
        <v>156.6</v>
      </c>
      <c r="BG3" s="77">
        <v>-0.44500953591864345</v>
      </c>
      <c r="BH3">
        <v>59.2</v>
      </c>
      <c r="BI3" s="78">
        <f>BH3/BH2*100-100</f>
        <v>13.40996168582376</v>
      </c>
    </row>
    <row r="4" spans="1:61" x14ac:dyDescent="0.3">
      <c r="A4" t="s">
        <v>34</v>
      </c>
      <c r="B4">
        <v>2021</v>
      </c>
      <c r="C4" t="s">
        <v>36</v>
      </c>
      <c r="D4">
        <v>144.1</v>
      </c>
      <c r="E4" s="75">
        <v>-0.13860013860015385</v>
      </c>
      <c r="F4">
        <v>192.2</v>
      </c>
      <c r="G4" s="75">
        <v>3.056300268096507</v>
      </c>
      <c r="H4">
        <v>163.80000000000001</v>
      </c>
      <c r="I4" s="75">
        <v>-2.9045643153526868</v>
      </c>
      <c r="J4">
        <v>154.9</v>
      </c>
      <c r="K4" s="77">
        <v>0.12928248222368666</v>
      </c>
      <c r="L4">
        <v>163.9</v>
      </c>
      <c r="M4" s="77">
        <v>3.2766225582860926</v>
      </c>
      <c r="N4">
        <v>153.69999999999999</v>
      </c>
      <c r="O4" s="77">
        <v>1.9907100199070982</v>
      </c>
      <c r="P4">
        <v>149.5</v>
      </c>
      <c r="Q4" s="77">
        <v>-6.5625</v>
      </c>
      <c r="R4">
        <v>159.80000000000001</v>
      </c>
      <c r="S4" s="77">
        <v>0.62972292191436452</v>
      </c>
      <c r="T4">
        <v>112.6</v>
      </c>
      <c r="U4" s="77">
        <v>-0.17730496453900457</v>
      </c>
      <c r="V4">
        <v>163.5</v>
      </c>
      <c r="W4" s="77">
        <v>-0.42630937880632302</v>
      </c>
      <c r="X4">
        <v>156.5</v>
      </c>
      <c r="Y4" s="77">
        <v>0.64308681672025614</v>
      </c>
      <c r="Z4">
        <v>168.2</v>
      </c>
      <c r="AA4" s="77">
        <v>0.41791044776118724</v>
      </c>
      <c r="AB4">
        <v>156.69999999999999</v>
      </c>
      <c r="AC4" s="77">
        <v>-0.12746972594010231</v>
      </c>
      <c r="AD4" s="78">
        <v>156.87692307692308</v>
      </c>
      <c r="AE4">
        <v>188.1</v>
      </c>
      <c r="AF4" s="77">
        <v>-0.10621348911313078</v>
      </c>
      <c r="AG4">
        <v>157.80000000000001</v>
      </c>
      <c r="AH4" s="77">
        <v>0.38167938931299261</v>
      </c>
      <c r="AI4">
        <v>147.9</v>
      </c>
      <c r="AJ4" s="77">
        <v>0.33921302578019663</v>
      </c>
      <c r="AK4">
        <v>156.4</v>
      </c>
      <c r="AL4" s="77">
        <v>0.38510911424903327</v>
      </c>
      <c r="AM4" s="78">
        <v>154.03333333333333</v>
      </c>
      <c r="AN4">
        <v>159.9</v>
      </c>
      <c r="AO4" s="77">
        <v>6.2578222778469694E-2</v>
      </c>
      <c r="AP4">
        <v>155.5</v>
      </c>
      <c r="AQ4" s="77">
        <v>2.0341207349081429</v>
      </c>
      <c r="AR4">
        <v>151.19999999999999</v>
      </c>
      <c r="AS4" s="77">
        <v>0.19880715705764374</v>
      </c>
      <c r="AT4">
        <v>161.69999999999999</v>
      </c>
      <c r="AU4" s="77">
        <v>0.24798512089272151</v>
      </c>
      <c r="AV4">
        <v>146.19999999999999</v>
      </c>
      <c r="AW4" s="77">
        <v>0.75809786354237474</v>
      </c>
      <c r="AX4">
        <v>152.6</v>
      </c>
      <c r="AY4" s="77">
        <v>0.72607260726071843</v>
      </c>
      <c r="AZ4">
        <v>160.19999999999999</v>
      </c>
      <c r="BA4" s="77">
        <v>0.43887147335422583</v>
      </c>
      <c r="BB4">
        <v>153.80000000000001</v>
      </c>
      <c r="BC4" s="77">
        <v>-1.283697047496787</v>
      </c>
      <c r="BD4">
        <v>153.80000000000001</v>
      </c>
      <c r="BE4" s="77">
        <v>0.26075619295957608</v>
      </c>
      <c r="BF4">
        <v>156.80000000000001</v>
      </c>
      <c r="BG4" s="77">
        <v>0.12771392081738497</v>
      </c>
      <c r="BH4">
        <v>62.33</v>
      </c>
      <c r="BI4" s="78">
        <f t="shared" ref="BI4:BI30" si="0">BH4/BH3*100-100</f>
        <v>5.2871621621621614</v>
      </c>
    </row>
    <row r="5" spans="1:61" x14ac:dyDescent="0.3">
      <c r="A5" t="s">
        <v>34</v>
      </c>
      <c r="B5">
        <v>2021</v>
      </c>
      <c r="C5" t="s">
        <v>37</v>
      </c>
      <c r="D5">
        <v>144.30000000000001</v>
      </c>
      <c r="E5" s="75">
        <v>0.13879250520471942</v>
      </c>
      <c r="F5">
        <v>198</v>
      </c>
      <c r="G5" s="75">
        <v>3.0176899063475702</v>
      </c>
      <c r="H5">
        <v>164.6</v>
      </c>
      <c r="I5" s="75">
        <v>0.48840048840048667</v>
      </c>
      <c r="J5">
        <v>155.4</v>
      </c>
      <c r="K5" s="77">
        <v>0.32278889606196515</v>
      </c>
      <c r="L5">
        <v>170.1</v>
      </c>
      <c r="M5" s="77">
        <v>3.7827943868212373</v>
      </c>
      <c r="N5">
        <v>164.4</v>
      </c>
      <c r="O5" s="77">
        <v>6.9616135328562194</v>
      </c>
      <c r="P5">
        <v>144.1</v>
      </c>
      <c r="Q5" s="77">
        <v>-3.6120401337792742</v>
      </c>
      <c r="R5">
        <v>161.69999999999999</v>
      </c>
      <c r="S5" s="77">
        <v>1.188986232790981</v>
      </c>
      <c r="T5">
        <v>113.1</v>
      </c>
      <c r="U5" s="77">
        <v>0.44404973357015365</v>
      </c>
      <c r="V5">
        <v>163.9</v>
      </c>
      <c r="W5" s="77">
        <v>0.24464831804280607</v>
      </c>
      <c r="X5">
        <v>157.6</v>
      </c>
      <c r="Y5" s="77">
        <v>0.7028753993610195</v>
      </c>
      <c r="Z5">
        <v>168.9</v>
      </c>
      <c r="AA5" s="77">
        <v>0.41617122473248003</v>
      </c>
      <c r="AB5">
        <v>158</v>
      </c>
      <c r="AC5" s="77">
        <v>0.82961072112317424</v>
      </c>
      <c r="AD5" s="78">
        <v>158.77692307692308</v>
      </c>
      <c r="AE5">
        <v>188.8</v>
      </c>
      <c r="AF5" s="77">
        <v>0.37214247740564588</v>
      </c>
      <c r="AG5">
        <v>158.80000000000001</v>
      </c>
      <c r="AH5" s="77">
        <v>0.63371356147021629</v>
      </c>
      <c r="AI5">
        <v>148.5</v>
      </c>
      <c r="AJ5" s="77">
        <v>0.40567951318458029</v>
      </c>
      <c r="AK5">
        <v>157.30000000000001</v>
      </c>
      <c r="AL5" s="77">
        <v>0.57544757033247151</v>
      </c>
      <c r="AM5" s="78">
        <v>154.86666666666667</v>
      </c>
      <c r="AN5">
        <v>161.4</v>
      </c>
      <c r="AO5" s="77">
        <v>0.9380863039399685</v>
      </c>
      <c r="AP5">
        <v>155.6</v>
      </c>
      <c r="AQ5" s="77">
        <v>6.4308681672017087E-2</v>
      </c>
      <c r="AR5">
        <v>151.80000000000001</v>
      </c>
      <c r="AS5" s="77">
        <v>0.39682539682542028</v>
      </c>
      <c r="AT5">
        <v>162.30000000000001</v>
      </c>
      <c r="AU5" s="77">
        <v>0.37105751391466413</v>
      </c>
      <c r="AV5">
        <v>146.6</v>
      </c>
      <c r="AW5" s="77">
        <v>0.27359781121751325</v>
      </c>
      <c r="AX5">
        <v>153.19999999999999</v>
      </c>
      <c r="AY5" s="77">
        <v>0.39318479685452701</v>
      </c>
      <c r="AZ5">
        <v>160.30000000000001</v>
      </c>
      <c r="BA5" s="77">
        <v>6.2421972534338011E-2</v>
      </c>
      <c r="BB5">
        <v>155.4</v>
      </c>
      <c r="BC5" s="77">
        <v>1.0403120936280885</v>
      </c>
      <c r="BD5">
        <v>154.4</v>
      </c>
      <c r="BE5" s="77">
        <v>0.39011703511053497</v>
      </c>
      <c r="BF5">
        <v>157.80000000000001</v>
      </c>
      <c r="BG5" s="77">
        <v>0.63775510204082764</v>
      </c>
      <c r="BH5">
        <v>61.72</v>
      </c>
      <c r="BI5" s="78">
        <f t="shared" si="0"/>
        <v>-0.97866196053264787</v>
      </c>
    </row>
    <row r="6" spans="1:61" x14ac:dyDescent="0.3">
      <c r="A6" t="s">
        <v>34</v>
      </c>
      <c r="B6">
        <v>2021</v>
      </c>
      <c r="C6" t="s">
        <v>38</v>
      </c>
      <c r="D6">
        <v>146.30000000000001</v>
      </c>
      <c r="E6" s="75">
        <v>1.3860013860013822</v>
      </c>
      <c r="F6">
        <v>200.5</v>
      </c>
      <c r="G6" s="75">
        <v>1.2626262626262559</v>
      </c>
      <c r="H6">
        <v>170.3</v>
      </c>
      <c r="I6" s="75">
        <v>3.4629404617253954</v>
      </c>
      <c r="J6">
        <v>156.1</v>
      </c>
      <c r="K6" s="77">
        <v>0.45045045045044674</v>
      </c>
      <c r="L6">
        <v>178.7</v>
      </c>
      <c r="M6" s="77">
        <v>5.0558495002939452</v>
      </c>
      <c r="N6">
        <v>167.1</v>
      </c>
      <c r="O6" s="77">
        <v>1.6423357664233436</v>
      </c>
      <c r="P6">
        <v>147.9</v>
      </c>
      <c r="Q6" s="77">
        <v>2.6370575988896547</v>
      </c>
      <c r="R6">
        <v>165.4</v>
      </c>
      <c r="S6" s="77">
        <v>2.2881880024737171</v>
      </c>
      <c r="T6">
        <v>114.8</v>
      </c>
      <c r="U6" s="77">
        <v>1.5030946065428736</v>
      </c>
      <c r="V6">
        <v>168.2</v>
      </c>
      <c r="W6" s="77">
        <v>2.6235509456985966</v>
      </c>
      <c r="X6">
        <v>159.30000000000001</v>
      </c>
      <c r="Y6" s="77">
        <v>1.0786802030456926</v>
      </c>
      <c r="Z6">
        <v>170.4</v>
      </c>
      <c r="AA6" s="77">
        <v>0.88809946714032151</v>
      </c>
      <c r="AB6">
        <v>160.69999999999999</v>
      </c>
      <c r="AC6" s="77">
        <v>1.7088607594936605</v>
      </c>
      <c r="AD6" s="78">
        <v>161.9769230769231</v>
      </c>
      <c r="AE6">
        <v>191.9</v>
      </c>
      <c r="AF6" s="77">
        <v>1.6419491525423666</v>
      </c>
      <c r="AG6">
        <v>161.80000000000001</v>
      </c>
      <c r="AH6" s="77">
        <v>1.8891687657430793</v>
      </c>
      <c r="AI6">
        <v>152.1</v>
      </c>
      <c r="AJ6" s="77">
        <v>2.4242424242424221</v>
      </c>
      <c r="AK6">
        <v>160.4</v>
      </c>
      <c r="AL6" s="77">
        <v>1.9707565162110541</v>
      </c>
      <c r="AM6" s="78">
        <v>158.1</v>
      </c>
      <c r="AN6">
        <v>161.6</v>
      </c>
      <c r="AO6" s="77">
        <v>0.12391573729861705</v>
      </c>
      <c r="AP6">
        <v>159.4</v>
      </c>
      <c r="AQ6" s="77">
        <v>2.4421593830334274</v>
      </c>
      <c r="AR6">
        <v>154.69999999999999</v>
      </c>
      <c r="AS6" s="77">
        <v>1.9104084321475341</v>
      </c>
      <c r="AT6">
        <v>165.8</v>
      </c>
      <c r="AU6" s="77">
        <v>2.1565003080714575</v>
      </c>
      <c r="AV6">
        <v>148.9</v>
      </c>
      <c r="AW6" s="77">
        <v>1.5688949522510285</v>
      </c>
      <c r="AX6">
        <v>155.80000000000001</v>
      </c>
      <c r="AY6" s="77">
        <v>1.6971279373368304</v>
      </c>
      <c r="AZ6">
        <v>161.19999999999999</v>
      </c>
      <c r="BA6" s="77">
        <v>0.56144728633810814</v>
      </c>
      <c r="BB6">
        <v>158.6</v>
      </c>
      <c r="BC6" s="77">
        <v>2.0592020592020503</v>
      </c>
      <c r="BD6">
        <v>156.80000000000001</v>
      </c>
      <c r="BE6" s="77">
        <v>1.5544041450777257</v>
      </c>
      <c r="BF6">
        <v>160.4</v>
      </c>
      <c r="BG6" s="77">
        <v>1.6476552598225567</v>
      </c>
      <c r="BH6">
        <v>65.17</v>
      </c>
      <c r="BI6" s="78">
        <f t="shared" si="0"/>
        <v>5.589760207388224</v>
      </c>
    </row>
    <row r="7" spans="1:61" x14ac:dyDescent="0.3">
      <c r="A7" t="s">
        <v>34</v>
      </c>
      <c r="B7">
        <v>2021</v>
      </c>
      <c r="C7" t="s">
        <v>39</v>
      </c>
      <c r="D7">
        <v>146.69999999999999</v>
      </c>
      <c r="E7" s="75">
        <v>0.27341079972657667</v>
      </c>
      <c r="F7">
        <v>202</v>
      </c>
      <c r="G7" s="75">
        <v>0.74812967581048895</v>
      </c>
      <c r="H7">
        <v>180.7</v>
      </c>
      <c r="I7" s="75">
        <v>6.106870229007626</v>
      </c>
      <c r="J7">
        <v>156.19999999999999</v>
      </c>
      <c r="K7" s="77">
        <v>6.4061499039084424E-2</v>
      </c>
      <c r="L7">
        <v>183.7</v>
      </c>
      <c r="M7" s="77">
        <v>2.7979854504756503</v>
      </c>
      <c r="N7">
        <v>164.6</v>
      </c>
      <c r="O7" s="77">
        <v>-1.4961101137043755</v>
      </c>
      <c r="P7">
        <v>155.4</v>
      </c>
      <c r="Q7" s="77">
        <v>5.0709939148073033</v>
      </c>
      <c r="R7">
        <v>166</v>
      </c>
      <c r="S7" s="77">
        <v>0.36275695284160747</v>
      </c>
      <c r="T7">
        <v>115.1</v>
      </c>
      <c r="U7" s="77">
        <v>0.26132404181184654</v>
      </c>
      <c r="V7">
        <v>168.5</v>
      </c>
      <c r="W7" s="77">
        <v>0.17835909631391189</v>
      </c>
      <c r="X7">
        <v>160</v>
      </c>
      <c r="Y7" s="77">
        <v>0.43942247332076079</v>
      </c>
      <c r="Z7">
        <v>172.4</v>
      </c>
      <c r="AA7" s="77">
        <v>1.1737089201878064</v>
      </c>
      <c r="AB7">
        <v>162.6</v>
      </c>
      <c r="AC7" s="77">
        <v>1.1823273179838196</v>
      </c>
      <c r="AD7" s="78">
        <v>164.14615384615385</v>
      </c>
      <c r="AE7">
        <v>190.8</v>
      </c>
      <c r="AF7" s="77">
        <v>-0.57321521625846117</v>
      </c>
      <c r="AG7">
        <v>162.19999999999999</v>
      </c>
      <c r="AH7" s="77">
        <v>0.24721878862791868</v>
      </c>
      <c r="AI7">
        <v>151.80000000000001</v>
      </c>
      <c r="AJ7" s="77">
        <v>-0.19723865877710978</v>
      </c>
      <c r="AK7">
        <v>160.69999999999999</v>
      </c>
      <c r="AL7" s="77">
        <v>0.18703241895261158</v>
      </c>
      <c r="AM7" s="78">
        <v>158.23333333333332</v>
      </c>
      <c r="AN7">
        <v>160.5</v>
      </c>
      <c r="AO7" s="77">
        <v>-0.68069306930692619</v>
      </c>
      <c r="AP7">
        <v>159.80000000000001</v>
      </c>
      <c r="AQ7" s="77">
        <v>0.25094102885823588</v>
      </c>
      <c r="AR7">
        <v>154.80000000000001</v>
      </c>
      <c r="AS7" s="77">
        <v>6.4641241111857539E-2</v>
      </c>
      <c r="AT7">
        <v>166.3</v>
      </c>
      <c r="AU7" s="77">
        <v>0.30156815440290075</v>
      </c>
      <c r="AV7">
        <v>150.69999999999999</v>
      </c>
      <c r="AW7" s="77">
        <v>1.2088650100738647</v>
      </c>
      <c r="AX7">
        <v>154.9</v>
      </c>
      <c r="AY7" s="77">
        <v>-0.57766367137355701</v>
      </c>
      <c r="AZ7">
        <v>161.69999999999999</v>
      </c>
      <c r="BA7" s="77">
        <v>0.31017369727047139</v>
      </c>
      <c r="BB7">
        <v>158.80000000000001</v>
      </c>
      <c r="BC7" s="77">
        <v>0.12610340479193383</v>
      </c>
      <c r="BD7">
        <v>157.6</v>
      </c>
      <c r="BE7" s="77">
        <v>0.51020408163265074</v>
      </c>
      <c r="BF7">
        <v>161.30000000000001</v>
      </c>
      <c r="BG7" s="77">
        <v>0.56109725685786316</v>
      </c>
      <c r="BH7">
        <v>71.38</v>
      </c>
      <c r="BI7" s="78">
        <f t="shared" si="0"/>
        <v>9.5289243516955509</v>
      </c>
    </row>
    <row r="8" spans="1:61" x14ac:dyDescent="0.3">
      <c r="A8" t="s">
        <v>34</v>
      </c>
      <c r="B8">
        <v>2021</v>
      </c>
      <c r="C8" t="s">
        <v>40</v>
      </c>
      <c r="D8">
        <v>146.4</v>
      </c>
      <c r="E8" s="75">
        <v>-0.20449897750509649</v>
      </c>
      <c r="F8">
        <v>206.8</v>
      </c>
      <c r="G8" s="75">
        <v>2.3762376237623783</v>
      </c>
      <c r="H8">
        <v>182.2</v>
      </c>
      <c r="I8" s="75">
        <v>0.83010514665191693</v>
      </c>
      <c r="J8">
        <v>157.5</v>
      </c>
      <c r="K8" s="77">
        <v>0.83226632522408295</v>
      </c>
      <c r="L8">
        <v>182.1</v>
      </c>
      <c r="M8" s="77">
        <v>-0.8709853021230316</v>
      </c>
      <c r="N8">
        <v>163.9</v>
      </c>
      <c r="O8" s="77">
        <v>-0.4252733900364376</v>
      </c>
      <c r="P8">
        <v>164.2</v>
      </c>
      <c r="Q8" s="77">
        <v>5.6628056628056527</v>
      </c>
      <c r="R8">
        <v>164</v>
      </c>
      <c r="S8" s="77">
        <v>-1.2048192771084416</v>
      </c>
      <c r="T8">
        <v>114.5</v>
      </c>
      <c r="U8" s="77">
        <v>-0.52128583840138276</v>
      </c>
      <c r="V8">
        <v>168.3</v>
      </c>
      <c r="W8" s="77">
        <v>-0.11869436201780559</v>
      </c>
      <c r="X8">
        <v>160.9</v>
      </c>
      <c r="Y8" s="77">
        <v>0.5625</v>
      </c>
      <c r="Z8">
        <v>172.2</v>
      </c>
      <c r="AA8" s="77">
        <v>-0.11600928074247463</v>
      </c>
      <c r="AB8">
        <v>164</v>
      </c>
      <c r="AC8" s="77">
        <v>0.86100861008611673</v>
      </c>
      <c r="AD8" s="78">
        <v>165.15384615384616</v>
      </c>
      <c r="AE8">
        <v>191.2</v>
      </c>
      <c r="AF8" s="77">
        <v>0.20964360587001352</v>
      </c>
      <c r="AG8">
        <v>162.80000000000001</v>
      </c>
      <c r="AH8" s="77">
        <v>0.36991368680642722</v>
      </c>
      <c r="AI8">
        <v>153.1</v>
      </c>
      <c r="AJ8" s="77">
        <v>0.85638998682475176</v>
      </c>
      <c r="AK8">
        <v>161.4</v>
      </c>
      <c r="AL8" s="77">
        <v>0.43559427504669657</v>
      </c>
      <c r="AM8" s="78">
        <v>159.1</v>
      </c>
      <c r="AN8">
        <v>161.5</v>
      </c>
      <c r="AO8" s="77">
        <v>0.62305295950156392</v>
      </c>
      <c r="AP8">
        <v>160.69999999999999</v>
      </c>
      <c r="AQ8" s="77">
        <v>0.56320400500624146</v>
      </c>
      <c r="AR8">
        <v>155.80000000000001</v>
      </c>
      <c r="AS8" s="77">
        <v>0.64599483204135311</v>
      </c>
      <c r="AT8">
        <v>167</v>
      </c>
      <c r="AU8" s="77">
        <v>0.42092603728201539</v>
      </c>
      <c r="AV8">
        <v>153.1</v>
      </c>
      <c r="AW8" s="77">
        <v>1.5925680159256927</v>
      </c>
      <c r="AX8">
        <v>155.30000000000001</v>
      </c>
      <c r="AY8" s="77">
        <v>0.25823111684960054</v>
      </c>
      <c r="AZ8">
        <v>163.19999999999999</v>
      </c>
      <c r="BA8" s="77">
        <v>0.92764378478665321</v>
      </c>
      <c r="BB8">
        <v>160.1</v>
      </c>
      <c r="BC8" s="77">
        <v>0.81863979848866109</v>
      </c>
      <c r="BD8">
        <v>159</v>
      </c>
      <c r="BE8" s="77">
        <v>0.88832487309645103</v>
      </c>
      <c r="BF8">
        <v>162.5</v>
      </c>
      <c r="BG8" s="77">
        <v>0.74395536267823559</v>
      </c>
      <c r="BH8">
        <v>72.59</v>
      </c>
      <c r="BI8" s="78">
        <f t="shared" si="0"/>
        <v>1.695152703838616</v>
      </c>
    </row>
    <row r="9" spans="1:61" x14ac:dyDescent="0.3">
      <c r="A9" t="s">
        <v>34</v>
      </c>
      <c r="B9">
        <v>2021</v>
      </c>
      <c r="C9" t="s">
        <v>41</v>
      </c>
      <c r="D9">
        <v>146.6</v>
      </c>
      <c r="E9" s="75">
        <v>0.13661202185789989</v>
      </c>
      <c r="F9">
        <v>204</v>
      </c>
      <c r="G9" s="75">
        <v>-1.3539651837524218</v>
      </c>
      <c r="H9">
        <v>172.8</v>
      </c>
      <c r="I9" s="75">
        <v>-5.1591657519209519</v>
      </c>
      <c r="J9">
        <v>158.4</v>
      </c>
      <c r="K9" s="77">
        <v>0.57142857142858361</v>
      </c>
      <c r="L9">
        <v>188</v>
      </c>
      <c r="M9" s="77">
        <v>3.2399780340472262</v>
      </c>
      <c r="N9">
        <v>156.80000000000001</v>
      </c>
      <c r="O9" s="77">
        <v>-4.331909701037219</v>
      </c>
      <c r="P9">
        <v>162.19999999999999</v>
      </c>
      <c r="Q9" s="77">
        <v>-1.2180267965895268</v>
      </c>
      <c r="R9">
        <v>164.1</v>
      </c>
      <c r="S9" s="77">
        <v>6.0975609756084737E-2</v>
      </c>
      <c r="T9">
        <v>119.7</v>
      </c>
      <c r="U9" s="77">
        <v>4.5414847161572141</v>
      </c>
      <c r="V9">
        <v>168.8</v>
      </c>
      <c r="W9" s="77">
        <v>0.29708853238265931</v>
      </c>
      <c r="X9">
        <v>162.69999999999999</v>
      </c>
      <c r="Y9" s="77">
        <v>1.118707271597259</v>
      </c>
      <c r="Z9">
        <v>173.9</v>
      </c>
      <c r="AA9" s="77">
        <v>0.98722415795586471</v>
      </c>
      <c r="AB9">
        <v>164</v>
      </c>
      <c r="AC9" s="77">
        <v>0</v>
      </c>
      <c r="AD9" s="78">
        <v>164.76923076923077</v>
      </c>
      <c r="AE9">
        <v>192.1</v>
      </c>
      <c r="AF9" s="77">
        <v>0.47071129707111936</v>
      </c>
      <c r="AG9">
        <v>164.5</v>
      </c>
      <c r="AH9" s="77">
        <v>1.0442260442260221</v>
      </c>
      <c r="AI9">
        <v>155.30000000000001</v>
      </c>
      <c r="AJ9" s="77">
        <v>1.4369693011103948</v>
      </c>
      <c r="AK9">
        <v>163.19999999999999</v>
      </c>
      <c r="AL9" s="77">
        <v>1.1152416356877239</v>
      </c>
      <c r="AM9" s="78">
        <v>161</v>
      </c>
      <c r="AN9">
        <v>162.1</v>
      </c>
      <c r="AO9" s="77">
        <v>0.37151702786377427</v>
      </c>
      <c r="AP9">
        <v>162.6</v>
      </c>
      <c r="AQ9" s="77">
        <v>1.1823273179838196</v>
      </c>
      <c r="AR9">
        <v>157.5</v>
      </c>
      <c r="AS9" s="77">
        <v>1.0911424903722491</v>
      </c>
      <c r="AT9">
        <v>168.4</v>
      </c>
      <c r="AU9" s="77">
        <v>0.83832335329341845</v>
      </c>
      <c r="AV9">
        <v>154</v>
      </c>
      <c r="AW9" s="77">
        <v>0.58785107772698098</v>
      </c>
      <c r="AX9">
        <v>157.6</v>
      </c>
      <c r="AY9" s="77">
        <v>1.4810045074050038</v>
      </c>
      <c r="AZ9">
        <v>163.80000000000001</v>
      </c>
      <c r="BA9" s="77">
        <v>0.36764705882355031</v>
      </c>
      <c r="BB9">
        <v>160</v>
      </c>
      <c r="BC9" s="77">
        <v>-6.2460961898807454E-2</v>
      </c>
      <c r="BD9">
        <v>160</v>
      </c>
      <c r="BE9" s="77">
        <v>0.62893081761006897</v>
      </c>
      <c r="BF9">
        <v>163.19999999999999</v>
      </c>
      <c r="BG9" s="77">
        <v>0.43076923076922924</v>
      </c>
      <c r="BH9">
        <v>67.87</v>
      </c>
      <c r="BI9" s="78">
        <f t="shared" si="0"/>
        <v>-6.5022730403636757</v>
      </c>
    </row>
    <row r="10" spans="1:61" x14ac:dyDescent="0.3">
      <c r="A10" t="s">
        <v>34</v>
      </c>
      <c r="B10">
        <v>2021</v>
      </c>
      <c r="C10" t="s">
        <v>42</v>
      </c>
      <c r="D10">
        <v>146.6</v>
      </c>
      <c r="E10" s="75">
        <v>0</v>
      </c>
      <c r="F10">
        <v>204</v>
      </c>
      <c r="G10" s="75">
        <v>0</v>
      </c>
      <c r="H10">
        <v>172.8</v>
      </c>
      <c r="I10" s="75">
        <v>0</v>
      </c>
      <c r="J10">
        <v>158.4</v>
      </c>
      <c r="K10" s="77">
        <v>0</v>
      </c>
      <c r="L10">
        <v>188</v>
      </c>
      <c r="M10" s="77">
        <v>0</v>
      </c>
      <c r="N10">
        <v>156.69999999999999</v>
      </c>
      <c r="O10" s="77">
        <v>-6.3775510204095553E-2</v>
      </c>
      <c r="P10">
        <v>162.30000000000001</v>
      </c>
      <c r="Q10" s="77">
        <v>6.1652281134414011E-2</v>
      </c>
      <c r="R10">
        <v>164.1</v>
      </c>
      <c r="S10" s="77">
        <v>0</v>
      </c>
      <c r="T10">
        <v>119.7</v>
      </c>
      <c r="U10" s="77">
        <v>0</v>
      </c>
      <c r="V10">
        <v>168.8</v>
      </c>
      <c r="W10" s="77">
        <v>0</v>
      </c>
      <c r="X10">
        <v>162.69999999999999</v>
      </c>
      <c r="Y10" s="77">
        <v>0</v>
      </c>
      <c r="Z10">
        <v>173.9</v>
      </c>
      <c r="AA10" s="77">
        <v>0</v>
      </c>
      <c r="AB10">
        <v>164</v>
      </c>
      <c r="AC10" s="77">
        <v>0</v>
      </c>
      <c r="AD10" s="78">
        <v>164.76923076923077</v>
      </c>
      <c r="AE10">
        <v>192.1</v>
      </c>
      <c r="AF10" s="77">
        <v>0</v>
      </c>
      <c r="AG10">
        <v>164.6</v>
      </c>
      <c r="AH10" s="77">
        <v>6.079027355623623E-2</v>
      </c>
      <c r="AI10">
        <v>155.30000000000001</v>
      </c>
      <c r="AJ10" s="77">
        <v>0</v>
      </c>
      <c r="AK10">
        <v>163.30000000000001</v>
      </c>
      <c r="AL10" s="77">
        <v>6.1274509803936894E-2</v>
      </c>
      <c r="AM10" s="78">
        <v>161.06666666666666</v>
      </c>
      <c r="AN10">
        <v>162.1</v>
      </c>
      <c r="AO10" s="77">
        <v>0</v>
      </c>
      <c r="AP10">
        <v>162.6</v>
      </c>
      <c r="AQ10" s="77">
        <v>0</v>
      </c>
      <c r="AR10">
        <v>157.5</v>
      </c>
      <c r="AS10" s="77">
        <v>0</v>
      </c>
      <c r="AT10">
        <v>168.4</v>
      </c>
      <c r="AU10" s="77">
        <v>0</v>
      </c>
      <c r="AV10">
        <v>154</v>
      </c>
      <c r="AW10" s="77">
        <v>0</v>
      </c>
      <c r="AX10">
        <v>157.69999999999999</v>
      </c>
      <c r="AY10" s="77">
        <v>6.3451776649742442E-2</v>
      </c>
      <c r="AZ10">
        <v>163.69999999999999</v>
      </c>
      <c r="BA10" s="77">
        <v>-6.1050061050067939E-2</v>
      </c>
      <c r="BB10">
        <v>160</v>
      </c>
      <c r="BC10" s="77">
        <v>0</v>
      </c>
      <c r="BD10">
        <v>160</v>
      </c>
      <c r="BE10" s="77">
        <v>0</v>
      </c>
      <c r="BF10">
        <v>163.19999999999999</v>
      </c>
      <c r="BG10" s="77">
        <v>0</v>
      </c>
      <c r="BH10">
        <v>71.540000000000006</v>
      </c>
      <c r="BI10" s="78">
        <f t="shared" si="0"/>
        <v>5.4073964932960052</v>
      </c>
    </row>
    <row r="11" spans="1:61" x14ac:dyDescent="0.3">
      <c r="A11" t="s">
        <v>34</v>
      </c>
      <c r="B11">
        <v>2021</v>
      </c>
      <c r="C11" t="s">
        <v>43</v>
      </c>
      <c r="D11">
        <v>147.4</v>
      </c>
      <c r="E11" s="75">
        <v>0.54570259208732352</v>
      </c>
      <c r="F11">
        <v>204.6</v>
      </c>
      <c r="G11" s="75">
        <v>0.29411764705882604</v>
      </c>
      <c r="H11">
        <v>171.2</v>
      </c>
      <c r="I11" s="75">
        <v>-0.92592592592593803</v>
      </c>
      <c r="J11">
        <v>158.69999999999999</v>
      </c>
      <c r="K11" s="77">
        <v>0.18939393939392346</v>
      </c>
      <c r="L11">
        <v>190.6</v>
      </c>
      <c r="M11" s="77">
        <v>1.3829787234042499</v>
      </c>
      <c r="N11">
        <v>155.69999999999999</v>
      </c>
      <c r="O11" s="77">
        <v>-0.6381620931716725</v>
      </c>
      <c r="P11">
        <v>185.3</v>
      </c>
      <c r="Q11" s="77">
        <v>14.171287738755396</v>
      </c>
      <c r="R11">
        <v>165.2</v>
      </c>
      <c r="S11" s="77">
        <v>0.67032297379645911</v>
      </c>
      <c r="T11">
        <v>121.9</v>
      </c>
      <c r="U11" s="77">
        <v>1.8379281537176411</v>
      </c>
      <c r="V11">
        <v>169.3</v>
      </c>
      <c r="W11" s="77">
        <v>0.29620853080569987</v>
      </c>
      <c r="X11">
        <v>163.19999999999999</v>
      </c>
      <c r="Y11" s="77">
        <v>0.3073140749846317</v>
      </c>
      <c r="Z11">
        <v>174.7</v>
      </c>
      <c r="AA11" s="77">
        <v>0.46003450258768908</v>
      </c>
      <c r="AB11">
        <v>167.7</v>
      </c>
      <c r="AC11" s="77">
        <v>2.2560975609756042</v>
      </c>
      <c r="AD11" s="78">
        <v>167.34615384615384</v>
      </c>
      <c r="AE11">
        <v>192.7</v>
      </c>
      <c r="AF11" s="77">
        <v>0.31233732431023498</v>
      </c>
      <c r="AG11">
        <v>165.7</v>
      </c>
      <c r="AH11" s="77">
        <v>0.66828675577157526</v>
      </c>
      <c r="AI11">
        <v>156.30000000000001</v>
      </c>
      <c r="AJ11" s="77">
        <v>0.6439150032195613</v>
      </c>
      <c r="AK11">
        <v>164.3</v>
      </c>
      <c r="AL11" s="77">
        <v>0.61236987140232202</v>
      </c>
      <c r="AM11" s="78">
        <v>162.1</v>
      </c>
      <c r="AN11">
        <v>163.6</v>
      </c>
      <c r="AO11" s="77">
        <v>0.92535471930908386</v>
      </c>
      <c r="AP11">
        <v>164.2</v>
      </c>
      <c r="AQ11" s="77">
        <v>0.98400984009839476</v>
      </c>
      <c r="AR11">
        <v>158.4</v>
      </c>
      <c r="AS11" s="77">
        <v>0.57142857142858361</v>
      </c>
      <c r="AT11">
        <v>169.1</v>
      </c>
      <c r="AU11" s="77">
        <v>0.41567695961994389</v>
      </c>
      <c r="AV11">
        <v>155.69999999999999</v>
      </c>
      <c r="AW11" s="77">
        <v>1.1038961038960906</v>
      </c>
      <c r="AX11">
        <v>158.6</v>
      </c>
      <c r="AY11" s="77">
        <v>0.57070386810400464</v>
      </c>
      <c r="AZ11">
        <v>163.9</v>
      </c>
      <c r="BA11" s="77">
        <v>0.12217470983506473</v>
      </c>
      <c r="BB11">
        <v>160.80000000000001</v>
      </c>
      <c r="BC11" s="77">
        <v>0.50000000000001421</v>
      </c>
      <c r="BD11">
        <v>161</v>
      </c>
      <c r="BE11" s="77">
        <v>0.62500000000001421</v>
      </c>
      <c r="BF11">
        <v>165.5</v>
      </c>
      <c r="BG11" s="77">
        <v>1.4093137254902075</v>
      </c>
      <c r="BH11">
        <v>81.36</v>
      </c>
      <c r="BI11" s="78">
        <f t="shared" si="0"/>
        <v>13.726586525020963</v>
      </c>
    </row>
    <row r="12" spans="1:61" x14ac:dyDescent="0.3">
      <c r="A12" t="s">
        <v>34</v>
      </c>
      <c r="B12">
        <v>2021</v>
      </c>
      <c r="C12" t="s">
        <v>45</v>
      </c>
      <c r="D12">
        <v>148.19999999999999</v>
      </c>
      <c r="E12" s="75">
        <v>0.54274084124830324</v>
      </c>
      <c r="F12">
        <v>201.6</v>
      </c>
      <c r="G12" s="75">
        <v>-1.4662756598240492</v>
      </c>
      <c r="H12">
        <v>173</v>
      </c>
      <c r="I12" s="75">
        <v>1.0514018691588802</v>
      </c>
      <c r="J12">
        <v>159.30000000000001</v>
      </c>
      <c r="K12" s="77">
        <v>0.37807183364839148</v>
      </c>
      <c r="L12">
        <v>190.1</v>
      </c>
      <c r="M12" s="77">
        <v>-0.26232948583421489</v>
      </c>
      <c r="N12">
        <v>156.5</v>
      </c>
      <c r="O12" s="77">
        <v>0.51380860629414826</v>
      </c>
      <c r="P12">
        <v>199.2</v>
      </c>
      <c r="Q12" s="77">
        <v>7.5013491635186114</v>
      </c>
      <c r="R12">
        <v>165.3</v>
      </c>
      <c r="S12" s="77">
        <v>6.0532687651331685E-2</v>
      </c>
      <c r="T12">
        <v>122.4</v>
      </c>
      <c r="U12" s="77">
        <v>0.41017227235438725</v>
      </c>
      <c r="V12">
        <v>169.6</v>
      </c>
      <c r="W12" s="77">
        <v>0.17720023626696957</v>
      </c>
      <c r="X12">
        <v>163.69999999999999</v>
      </c>
      <c r="Y12" s="77">
        <v>0.30637254901961342</v>
      </c>
      <c r="Z12">
        <v>175.5</v>
      </c>
      <c r="AA12" s="77">
        <v>0.45792787635947718</v>
      </c>
      <c r="AB12">
        <v>169.7</v>
      </c>
      <c r="AC12" s="77">
        <v>1.1926058437686322</v>
      </c>
      <c r="AD12" s="78">
        <v>168.77692307692308</v>
      </c>
      <c r="AE12">
        <v>192.9</v>
      </c>
      <c r="AF12" s="77">
        <v>0.10378827192528206</v>
      </c>
      <c r="AG12">
        <v>167.2</v>
      </c>
      <c r="AH12" s="77">
        <v>0.90525045262521076</v>
      </c>
      <c r="AI12">
        <v>157.4</v>
      </c>
      <c r="AJ12" s="77">
        <v>0.70377479206653959</v>
      </c>
      <c r="AK12">
        <v>165.8</v>
      </c>
      <c r="AL12" s="77">
        <v>0.91296409007912871</v>
      </c>
      <c r="AM12" s="78">
        <v>163.46666666666667</v>
      </c>
      <c r="AN12">
        <v>164.2</v>
      </c>
      <c r="AO12" s="77">
        <v>0.36674816625917117</v>
      </c>
      <c r="AP12">
        <v>163.9</v>
      </c>
      <c r="AQ12" s="77">
        <v>-0.18270401948842618</v>
      </c>
      <c r="AR12">
        <v>159.30000000000001</v>
      </c>
      <c r="AS12" s="77">
        <v>0.56818181818181301</v>
      </c>
      <c r="AT12">
        <v>169.9</v>
      </c>
      <c r="AU12" s="77">
        <v>0.47309284447072741</v>
      </c>
      <c r="AV12">
        <v>154.80000000000001</v>
      </c>
      <c r="AW12" s="77">
        <v>-0.57803468208091147</v>
      </c>
      <c r="AX12">
        <v>159.80000000000001</v>
      </c>
      <c r="AY12" s="77">
        <v>0.75662042875160296</v>
      </c>
      <c r="AZ12">
        <v>164.3</v>
      </c>
      <c r="BA12" s="77">
        <v>0.24405125076265222</v>
      </c>
      <c r="BB12">
        <v>162.19999999999999</v>
      </c>
      <c r="BC12" s="77">
        <v>0.87064676616914483</v>
      </c>
      <c r="BD12">
        <v>161.4</v>
      </c>
      <c r="BE12" s="77">
        <v>0.24844720496895434</v>
      </c>
      <c r="BF12">
        <v>166.7</v>
      </c>
      <c r="BG12" s="77">
        <v>0.72507552870089853</v>
      </c>
      <c r="BH12">
        <v>79.099999999999994</v>
      </c>
      <c r="BI12" s="78">
        <f t="shared" si="0"/>
        <v>-2.7777777777777857</v>
      </c>
    </row>
    <row r="13" spans="1:61" x14ac:dyDescent="0.3">
      <c r="A13" t="s">
        <v>34</v>
      </c>
      <c r="B13">
        <v>2021</v>
      </c>
      <c r="C13" t="s">
        <v>46</v>
      </c>
      <c r="D13">
        <v>148.69999999999999</v>
      </c>
      <c r="E13" s="75">
        <v>0.33738191632927794</v>
      </c>
      <c r="F13">
        <v>198.8</v>
      </c>
      <c r="G13" s="75">
        <v>-1.3888888888888857</v>
      </c>
      <c r="H13">
        <v>177.9</v>
      </c>
      <c r="I13" s="75">
        <v>2.8323699421965358</v>
      </c>
      <c r="J13">
        <v>159.9</v>
      </c>
      <c r="K13" s="77">
        <v>0.37664783427496218</v>
      </c>
      <c r="L13">
        <v>187.6</v>
      </c>
      <c r="M13" s="77">
        <v>-1.3150973172014773</v>
      </c>
      <c r="N13">
        <v>154.9</v>
      </c>
      <c r="O13" s="77">
        <v>-1.0223642172523881</v>
      </c>
      <c r="P13">
        <v>188.3</v>
      </c>
      <c r="Q13" s="77">
        <v>-5.4718875502007904</v>
      </c>
      <c r="R13">
        <v>164.4</v>
      </c>
      <c r="S13" s="77">
        <v>-0.54446460980037159</v>
      </c>
      <c r="T13">
        <v>121</v>
      </c>
      <c r="U13" s="77">
        <v>-1.1437908496732092</v>
      </c>
      <c r="V13">
        <v>170.5</v>
      </c>
      <c r="W13" s="77">
        <v>0.53066037735848681</v>
      </c>
      <c r="X13">
        <v>164.2</v>
      </c>
      <c r="Y13" s="77">
        <v>0.30543677458764762</v>
      </c>
      <c r="Z13">
        <v>176.5</v>
      </c>
      <c r="AA13" s="77">
        <v>0.56980056980056304</v>
      </c>
      <c r="AB13">
        <v>168.2</v>
      </c>
      <c r="AC13" s="77">
        <v>-0.88391278727165457</v>
      </c>
      <c r="AD13" s="78">
        <v>167.76153846153846</v>
      </c>
      <c r="AE13">
        <v>192.4</v>
      </c>
      <c r="AF13" s="77">
        <v>-0.25920165889061764</v>
      </c>
      <c r="AG13">
        <v>168.5</v>
      </c>
      <c r="AH13" s="77">
        <v>0.77751196172248171</v>
      </c>
      <c r="AI13">
        <v>158.69999999999999</v>
      </c>
      <c r="AJ13" s="77">
        <v>0.82592121982210642</v>
      </c>
      <c r="AK13">
        <v>167</v>
      </c>
      <c r="AL13" s="77">
        <v>0.72376357056694474</v>
      </c>
      <c r="AM13" s="78">
        <v>164.73333333333332</v>
      </c>
      <c r="AN13">
        <v>163.4</v>
      </c>
      <c r="AO13" s="77">
        <v>-0.48721071863579368</v>
      </c>
      <c r="AP13">
        <v>164.1</v>
      </c>
      <c r="AQ13" s="77">
        <v>0.12202562538132611</v>
      </c>
      <c r="AR13">
        <v>160.19999999999999</v>
      </c>
      <c r="AS13" s="77">
        <v>0.56497175141241485</v>
      </c>
      <c r="AT13">
        <v>170.6</v>
      </c>
      <c r="AU13" s="77">
        <v>0.4120070629782191</v>
      </c>
      <c r="AV13">
        <v>155.69999999999999</v>
      </c>
      <c r="AW13" s="77">
        <v>0.5813953488371908</v>
      </c>
      <c r="AX13">
        <v>160.6</v>
      </c>
      <c r="AY13" s="77">
        <v>0.50062578222778598</v>
      </c>
      <c r="AZ13">
        <v>164.4</v>
      </c>
      <c r="BA13" s="77">
        <v>6.0864272671935282E-2</v>
      </c>
      <c r="BB13">
        <v>162.6</v>
      </c>
      <c r="BC13" s="77">
        <v>0.24660912453762762</v>
      </c>
      <c r="BD13">
        <v>162</v>
      </c>
      <c r="BE13" s="77">
        <v>0.37174721189589377</v>
      </c>
      <c r="BF13">
        <v>166.2</v>
      </c>
      <c r="BG13" s="77">
        <v>-0.29994001199760589</v>
      </c>
      <c r="BH13">
        <v>71.8</v>
      </c>
      <c r="BI13" s="78">
        <f t="shared" si="0"/>
        <v>-9.2288242730720498</v>
      </c>
    </row>
    <row r="14" spans="1:61" x14ac:dyDescent="0.3">
      <c r="A14" t="s">
        <v>34</v>
      </c>
      <c r="B14">
        <v>2022</v>
      </c>
      <c r="C14" t="s">
        <v>31</v>
      </c>
      <c r="D14">
        <v>149.5</v>
      </c>
      <c r="E14" s="75">
        <v>0.53799596503027658</v>
      </c>
      <c r="F14">
        <v>198.7</v>
      </c>
      <c r="G14" s="75">
        <v>-5.0301810865207131E-2</v>
      </c>
      <c r="H14">
        <v>178.8</v>
      </c>
      <c r="I14" s="75">
        <v>0.50590219224284283</v>
      </c>
      <c r="J14">
        <v>160.5</v>
      </c>
      <c r="K14" s="77">
        <v>0.37523452157597603</v>
      </c>
      <c r="L14">
        <v>184.7</v>
      </c>
      <c r="M14" s="77">
        <v>-1.5458422174840223</v>
      </c>
      <c r="N14">
        <v>153.69999999999999</v>
      </c>
      <c r="O14" s="77">
        <v>-0.77469335054874477</v>
      </c>
      <c r="P14">
        <v>174.3</v>
      </c>
      <c r="Q14" s="77">
        <v>-7.4349442379182165</v>
      </c>
      <c r="R14">
        <v>163.9</v>
      </c>
      <c r="S14" s="77">
        <v>-0.3041362530413636</v>
      </c>
      <c r="T14">
        <v>120</v>
      </c>
      <c r="U14" s="77">
        <v>-0.8264462809917319</v>
      </c>
      <c r="V14">
        <v>172.1</v>
      </c>
      <c r="W14" s="77">
        <v>0.93841642228737498</v>
      </c>
      <c r="X14">
        <v>164.3</v>
      </c>
      <c r="Y14" s="77">
        <v>6.0901339829499079E-2</v>
      </c>
      <c r="Z14">
        <v>177.3</v>
      </c>
      <c r="AA14" s="77">
        <v>0.45325779036828351</v>
      </c>
      <c r="AB14">
        <v>166.4</v>
      </c>
      <c r="AC14" s="77">
        <v>-1.0701545778834713</v>
      </c>
      <c r="AD14" s="78">
        <v>166.47692307692307</v>
      </c>
      <c r="AE14">
        <v>192.2</v>
      </c>
      <c r="AF14" s="77">
        <v>-0.10395010395011184</v>
      </c>
      <c r="AG14">
        <v>169.9</v>
      </c>
      <c r="AH14" s="77">
        <v>0.83086053412462491</v>
      </c>
      <c r="AI14">
        <v>160.69999999999999</v>
      </c>
      <c r="AJ14" s="77">
        <v>1.2602394454946477</v>
      </c>
      <c r="AK14">
        <v>168.5</v>
      </c>
      <c r="AL14" s="77">
        <v>0.89820359281435458</v>
      </c>
      <c r="AM14" s="78">
        <v>166.36666666666667</v>
      </c>
      <c r="AN14">
        <v>164.5</v>
      </c>
      <c r="AO14" s="77">
        <v>0.6731946144430907</v>
      </c>
      <c r="AP14">
        <v>164.2</v>
      </c>
      <c r="AQ14" s="77">
        <v>6.0938452163298962E-2</v>
      </c>
      <c r="AR14">
        <v>161.1</v>
      </c>
      <c r="AS14" s="77">
        <v>0.56179775280899946</v>
      </c>
      <c r="AT14">
        <v>171.4</v>
      </c>
      <c r="AU14" s="77">
        <v>0.46893317702227932</v>
      </c>
      <c r="AV14">
        <v>156.5</v>
      </c>
      <c r="AW14" s="77">
        <v>0.51380860629414826</v>
      </c>
      <c r="AX14">
        <v>161.19999999999999</v>
      </c>
      <c r="AY14" s="77">
        <v>0.37359900373598975</v>
      </c>
      <c r="AZ14">
        <v>164.7</v>
      </c>
      <c r="BA14" s="77">
        <v>0.18248175182480963</v>
      </c>
      <c r="BB14">
        <v>163</v>
      </c>
      <c r="BC14" s="77">
        <v>0.24600246002459869</v>
      </c>
      <c r="BD14">
        <v>162.69999999999999</v>
      </c>
      <c r="BE14" s="77">
        <v>0.43209876543208736</v>
      </c>
      <c r="BF14">
        <v>165.7</v>
      </c>
      <c r="BG14" s="77">
        <v>-0.30084235860408626</v>
      </c>
      <c r="BH14">
        <v>83.28</v>
      </c>
      <c r="BI14" s="78">
        <f t="shared" si="0"/>
        <v>15.988857938718667</v>
      </c>
    </row>
    <row r="15" spans="1:61" x14ac:dyDescent="0.3">
      <c r="A15" t="s">
        <v>34</v>
      </c>
      <c r="B15">
        <v>2022</v>
      </c>
      <c r="C15" t="s">
        <v>35</v>
      </c>
      <c r="D15">
        <v>150</v>
      </c>
      <c r="E15" s="75">
        <v>0.33444816053511772</v>
      </c>
      <c r="F15">
        <v>200.6</v>
      </c>
      <c r="G15" s="75">
        <v>0.95621540010064621</v>
      </c>
      <c r="H15">
        <v>175.8</v>
      </c>
      <c r="I15" s="75">
        <v>-1.6778523489932979</v>
      </c>
      <c r="J15">
        <v>160.69999999999999</v>
      </c>
      <c r="K15" s="77">
        <v>0.12461059190029289</v>
      </c>
      <c r="L15">
        <v>184.9</v>
      </c>
      <c r="M15" s="77">
        <v>0.10828370330267489</v>
      </c>
      <c r="N15">
        <v>153.69999999999999</v>
      </c>
      <c r="O15" s="77">
        <v>0</v>
      </c>
      <c r="P15">
        <v>169.7</v>
      </c>
      <c r="Q15" s="77">
        <v>-2.6391279403327701</v>
      </c>
      <c r="R15">
        <v>163.69999999999999</v>
      </c>
      <c r="S15" s="77">
        <v>-0.12202562538134032</v>
      </c>
      <c r="T15">
        <v>118.9</v>
      </c>
      <c r="U15" s="77">
        <v>-0.9166666666666714</v>
      </c>
      <c r="V15">
        <v>174.3</v>
      </c>
      <c r="W15" s="77">
        <v>1.2783265543288849</v>
      </c>
      <c r="X15">
        <v>164.7</v>
      </c>
      <c r="Y15" s="77">
        <v>0.24345709068775534</v>
      </c>
      <c r="Z15">
        <v>178</v>
      </c>
      <c r="AA15" s="77">
        <v>0.39481105470953537</v>
      </c>
      <c r="AB15">
        <v>166.2</v>
      </c>
      <c r="AC15" s="77">
        <v>-0.1201923076923066</v>
      </c>
      <c r="AD15" s="78">
        <v>166.24615384615387</v>
      </c>
      <c r="AE15">
        <v>192.8</v>
      </c>
      <c r="AF15" s="77">
        <v>0.31217481789802548</v>
      </c>
      <c r="AG15">
        <v>170.8</v>
      </c>
      <c r="AH15" s="77">
        <v>0.52972336668628373</v>
      </c>
      <c r="AI15">
        <v>162.4</v>
      </c>
      <c r="AJ15" s="77">
        <v>1.0578718108276348</v>
      </c>
      <c r="AK15">
        <v>169.6</v>
      </c>
      <c r="AL15" s="77">
        <v>0.65281899109793073</v>
      </c>
      <c r="AM15" s="78">
        <v>167.60000000000002</v>
      </c>
      <c r="AN15">
        <v>165.5</v>
      </c>
      <c r="AO15" s="77">
        <v>0.60790273556230545</v>
      </c>
      <c r="AP15">
        <v>165.7</v>
      </c>
      <c r="AQ15" s="77">
        <v>0.91352009744214513</v>
      </c>
      <c r="AR15">
        <v>161.80000000000001</v>
      </c>
      <c r="AS15" s="77">
        <v>0.43451272501553717</v>
      </c>
      <c r="AT15">
        <v>172.2</v>
      </c>
      <c r="AU15" s="77">
        <v>0.46674445740954695</v>
      </c>
      <c r="AV15">
        <v>156.9</v>
      </c>
      <c r="AW15" s="77">
        <v>0.25559105431310059</v>
      </c>
      <c r="AX15">
        <v>162.1</v>
      </c>
      <c r="AY15" s="77">
        <v>0.55831265508685135</v>
      </c>
      <c r="AZ15">
        <v>165.4</v>
      </c>
      <c r="BA15" s="77">
        <v>0.42501517911355791</v>
      </c>
      <c r="BB15">
        <v>164.4</v>
      </c>
      <c r="BC15" s="77">
        <v>0.85889570552146211</v>
      </c>
      <c r="BD15">
        <v>163.5</v>
      </c>
      <c r="BE15" s="77">
        <v>0.49170251997540504</v>
      </c>
      <c r="BF15">
        <v>166.1</v>
      </c>
      <c r="BG15" s="77">
        <v>0.24140012070006378</v>
      </c>
      <c r="BH15">
        <v>91.61</v>
      </c>
      <c r="BI15" s="78">
        <f t="shared" si="0"/>
        <v>10.002401536983669</v>
      </c>
    </row>
    <row r="16" spans="1:61" x14ac:dyDescent="0.3">
      <c r="A16" t="s">
        <v>34</v>
      </c>
      <c r="B16">
        <v>2022</v>
      </c>
      <c r="C16" t="s">
        <v>36</v>
      </c>
      <c r="D16">
        <v>151.30000000000001</v>
      </c>
      <c r="E16" s="75">
        <v>0.86666666666668846</v>
      </c>
      <c r="F16">
        <v>210.7</v>
      </c>
      <c r="G16" s="75">
        <v>5.0348953140578345</v>
      </c>
      <c r="H16">
        <v>167.8</v>
      </c>
      <c r="I16" s="75">
        <v>-4.5506257110352664</v>
      </c>
      <c r="J16">
        <v>162.19999999999999</v>
      </c>
      <c r="K16" s="77">
        <v>0.9334163036714358</v>
      </c>
      <c r="L16">
        <v>194.6</v>
      </c>
      <c r="M16" s="77">
        <v>5.2460789616008583</v>
      </c>
      <c r="N16">
        <v>157.6</v>
      </c>
      <c r="O16" s="77">
        <v>2.5374105400130134</v>
      </c>
      <c r="P16">
        <v>166.9</v>
      </c>
      <c r="Q16" s="77">
        <v>-1.6499705362404171</v>
      </c>
      <c r="R16">
        <v>163.9</v>
      </c>
      <c r="S16" s="77">
        <v>0.12217470983506473</v>
      </c>
      <c r="T16">
        <v>118.8</v>
      </c>
      <c r="U16" s="77">
        <v>-8.4104289318759129E-2</v>
      </c>
      <c r="V16">
        <v>177.4</v>
      </c>
      <c r="W16" s="77">
        <v>1.778542742398173</v>
      </c>
      <c r="X16">
        <v>165.3</v>
      </c>
      <c r="Y16" s="77">
        <v>0.36429872495446602</v>
      </c>
      <c r="Z16">
        <v>179.3</v>
      </c>
      <c r="AA16" s="77">
        <v>0.73033707865168651</v>
      </c>
      <c r="AB16">
        <v>168.4</v>
      </c>
      <c r="AC16" s="77">
        <v>1.3237063778580165</v>
      </c>
      <c r="AD16" s="78">
        <v>168.01538461538465</v>
      </c>
      <c r="AE16">
        <v>193.7</v>
      </c>
      <c r="AF16" s="77">
        <v>0.46680497925311215</v>
      </c>
      <c r="AG16">
        <v>172.1</v>
      </c>
      <c r="AH16" s="77">
        <v>0.76112412177984368</v>
      </c>
      <c r="AI16">
        <v>164.6</v>
      </c>
      <c r="AJ16" s="77">
        <v>1.3546798029556442</v>
      </c>
      <c r="AK16">
        <v>171.1</v>
      </c>
      <c r="AL16" s="77">
        <v>0.88443396226413995</v>
      </c>
      <c r="AM16" s="78">
        <v>169.26666666666665</v>
      </c>
      <c r="AN16">
        <v>165.3</v>
      </c>
      <c r="AO16" s="77">
        <v>-0.12084592145014028</v>
      </c>
      <c r="AP16">
        <v>167.2</v>
      </c>
      <c r="AQ16" s="77">
        <v>0.90525045262521076</v>
      </c>
      <c r="AR16">
        <v>162.80000000000001</v>
      </c>
      <c r="AS16" s="77">
        <v>0.61804697156983934</v>
      </c>
      <c r="AT16">
        <v>173</v>
      </c>
      <c r="AU16" s="77">
        <v>0.46457607433217163</v>
      </c>
      <c r="AV16">
        <v>157.9</v>
      </c>
      <c r="AW16" s="77">
        <v>0.63734862970044048</v>
      </c>
      <c r="AX16">
        <v>163.30000000000001</v>
      </c>
      <c r="AY16" s="77">
        <v>0.74028377544725288</v>
      </c>
      <c r="AZ16">
        <v>166</v>
      </c>
      <c r="BA16" s="77">
        <v>0.36275695284160747</v>
      </c>
      <c r="BB16">
        <v>167.2</v>
      </c>
      <c r="BC16" s="77">
        <v>1.7031630170316134</v>
      </c>
      <c r="BD16">
        <v>164.6</v>
      </c>
      <c r="BE16" s="77">
        <v>0.672782874617738</v>
      </c>
      <c r="BF16">
        <v>167.7</v>
      </c>
      <c r="BG16" s="77">
        <v>0.9632751354605773</v>
      </c>
      <c r="BH16">
        <v>108.4</v>
      </c>
      <c r="BI16" s="78">
        <f t="shared" si="0"/>
        <v>18.32769348324419</v>
      </c>
    </row>
    <row r="17" spans="1:61" x14ac:dyDescent="0.3">
      <c r="A17" t="s">
        <v>34</v>
      </c>
      <c r="B17">
        <v>2022</v>
      </c>
      <c r="C17" t="s">
        <v>37</v>
      </c>
      <c r="D17">
        <v>152.9</v>
      </c>
      <c r="E17" s="75">
        <v>1.0575016523463319</v>
      </c>
      <c r="F17">
        <v>211.8</v>
      </c>
      <c r="G17" s="75">
        <v>0.52206929283342163</v>
      </c>
      <c r="H17">
        <v>164.5</v>
      </c>
      <c r="I17" s="75">
        <v>-1.9666269368295559</v>
      </c>
      <c r="J17">
        <v>163.9</v>
      </c>
      <c r="K17" s="77">
        <v>1.0480887792848392</v>
      </c>
      <c r="L17">
        <v>199.5</v>
      </c>
      <c r="M17" s="77">
        <v>2.5179856115107953</v>
      </c>
      <c r="N17">
        <v>172.6</v>
      </c>
      <c r="O17" s="77">
        <v>9.5177664974619205</v>
      </c>
      <c r="P17">
        <v>166.2</v>
      </c>
      <c r="Q17" s="77">
        <v>-0.41941282204913932</v>
      </c>
      <c r="R17">
        <v>164.7</v>
      </c>
      <c r="S17" s="77">
        <v>0.48810250152530443</v>
      </c>
      <c r="T17">
        <v>119</v>
      </c>
      <c r="U17" s="77">
        <v>0.16835016835017313</v>
      </c>
      <c r="V17">
        <v>181.3</v>
      </c>
      <c r="W17" s="77">
        <v>2.1984216459977546</v>
      </c>
      <c r="X17">
        <v>166.2</v>
      </c>
      <c r="Y17" s="77">
        <v>0.54446460980035738</v>
      </c>
      <c r="Z17">
        <v>180.9</v>
      </c>
      <c r="AA17" s="77">
        <v>0.89235917456775837</v>
      </c>
      <c r="AB17">
        <v>170.8</v>
      </c>
      <c r="AC17" s="77">
        <v>1.4251781472684115</v>
      </c>
      <c r="AD17" s="78">
        <v>170.33076923076925</v>
      </c>
      <c r="AE17">
        <v>193.9</v>
      </c>
      <c r="AF17" s="77">
        <v>0.10325245224574076</v>
      </c>
      <c r="AG17">
        <v>173.9</v>
      </c>
      <c r="AH17" s="77">
        <v>1.0459035444509084</v>
      </c>
      <c r="AI17">
        <v>166.5</v>
      </c>
      <c r="AJ17" s="77">
        <v>1.1543134872417937</v>
      </c>
      <c r="AK17">
        <v>172.8</v>
      </c>
      <c r="AL17" s="77">
        <v>0.99357101110462054</v>
      </c>
      <c r="AM17" s="78">
        <v>171.06666666666669</v>
      </c>
      <c r="AN17">
        <v>167</v>
      </c>
      <c r="AO17" s="77">
        <v>1.0284331518451353</v>
      </c>
      <c r="AP17">
        <v>172.2</v>
      </c>
      <c r="AQ17" s="77">
        <v>2.9904306220095691</v>
      </c>
      <c r="AR17">
        <v>164</v>
      </c>
      <c r="AS17" s="77">
        <v>0.73710073710073232</v>
      </c>
      <c r="AT17">
        <v>174</v>
      </c>
      <c r="AU17" s="77">
        <v>0.57803468208092568</v>
      </c>
      <c r="AV17">
        <v>162.6</v>
      </c>
      <c r="AW17" s="77">
        <v>2.9765674477517479</v>
      </c>
      <c r="AX17">
        <v>164.4</v>
      </c>
      <c r="AY17" s="77">
        <v>0.67360685854256985</v>
      </c>
      <c r="AZ17">
        <v>166.9</v>
      </c>
      <c r="BA17" s="77">
        <v>0.54216867469880015</v>
      </c>
      <c r="BB17">
        <v>168.8</v>
      </c>
      <c r="BC17" s="77">
        <v>0.95693779904306098</v>
      </c>
      <c r="BD17">
        <v>166.8</v>
      </c>
      <c r="BE17" s="77">
        <v>1.3365735115431505</v>
      </c>
      <c r="BF17">
        <v>170.1</v>
      </c>
      <c r="BG17" s="77">
        <v>1.4311270125223672</v>
      </c>
      <c r="BH17">
        <v>101.99</v>
      </c>
      <c r="BI17" s="78">
        <f t="shared" si="0"/>
        <v>-5.9132841328413406</v>
      </c>
    </row>
    <row r="18" spans="1:61" x14ac:dyDescent="0.3">
      <c r="A18" t="s">
        <v>34</v>
      </c>
      <c r="B18">
        <v>2022</v>
      </c>
      <c r="C18" t="s">
        <v>38</v>
      </c>
      <c r="D18">
        <v>154.1</v>
      </c>
      <c r="E18" s="75">
        <v>0.78482668410724443</v>
      </c>
      <c r="F18">
        <v>217</v>
      </c>
      <c r="G18" s="75">
        <v>2.4551463644947944</v>
      </c>
      <c r="H18">
        <v>162.4</v>
      </c>
      <c r="I18" s="75">
        <v>-1.2765957446808471</v>
      </c>
      <c r="J18">
        <v>164.9</v>
      </c>
      <c r="K18" s="77">
        <v>0.61012812690664475</v>
      </c>
      <c r="L18">
        <v>202.4</v>
      </c>
      <c r="M18" s="77">
        <v>1.4536340852130394</v>
      </c>
      <c r="N18">
        <v>171</v>
      </c>
      <c r="O18" s="77">
        <v>-0.92699884125144649</v>
      </c>
      <c r="P18">
        <v>174.9</v>
      </c>
      <c r="Q18" s="77">
        <v>5.2346570397111947</v>
      </c>
      <c r="R18">
        <v>164.7</v>
      </c>
      <c r="S18" s="77">
        <v>0</v>
      </c>
      <c r="T18">
        <v>119.7</v>
      </c>
      <c r="U18" s="77">
        <v>0.58823529411765207</v>
      </c>
      <c r="V18">
        <v>184.9</v>
      </c>
      <c r="W18" s="77">
        <v>1.985659128516275</v>
      </c>
      <c r="X18">
        <v>167.1</v>
      </c>
      <c r="Y18" s="77">
        <v>0.54151624548737232</v>
      </c>
      <c r="Z18">
        <v>182.5</v>
      </c>
      <c r="AA18" s="77">
        <v>0.88446655610835023</v>
      </c>
      <c r="AB18">
        <v>173.3</v>
      </c>
      <c r="AC18" s="77">
        <v>1.4637002341920464</v>
      </c>
      <c r="AD18" s="78">
        <v>172.22307692307697</v>
      </c>
      <c r="AE18">
        <v>194.1</v>
      </c>
      <c r="AF18" s="77">
        <v>0.10314595152138395</v>
      </c>
      <c r="AG18">
        <v>175.6</v>
      </c>
      <c r="AH18" s="77">
        <v>0.97757331799883218</v>
      </c>
      <c r="AI18">
        <v>168.4</v>
      </c>
      <c r="AJ18" s="77">
        <v>1.1411411411411478</v>
      </c>
      <c r="AK18">
        <v>174.6</v>
      </c>
      <c r="AL18" s="77">
        <v>1.0416666666666572</v>
      </c>
      <c r="AM18" s="78">
        <v>172.86666666666667</v>
      </c>
      <c r="AN18">
        <v>167.5</v>
      </c>
      <c r="AO18" s="77">
        <v>0.29940119760479433</v>
      </c>
      <c r="AP18">
        <v>174.6</v>
      </c>
      <c r="AQ18" s="77">
        <v>1.3937282229965291</v>
      </c>
      <c r="AR18">
        <v>165.2</v>
      </c>
      <c r="AS18" s="77">
        <v>0.73170731707317316</v>
      </c>
      <c r="AT18">
        <v>174.8</v>
      </c>
      <c r="AU18" s="77">
        <v>0.45977011494254327</v>
      </c>
      <c r="AV18">
        <v>163</v>
      </c>
      <c r="AW18" s="77">
        <v>0.24600246002459869</v>
      </c>
      <c r="AX18">
        <v>165.1</v>
      </c>
      <c r="AY18" s="77">
        <v>0.42579075425790336</v>
      </c>
      <c r="AZ18">
        <v>167.9</v>
      </c>
      <c r="BA18" s="77">
        <v>0.59916117435589911</v>
      </c>
      <c r="BB18">
        <v>168.4</v>
      </c>
      <c r="BC18" s="77">
        <v>-0.23696682464455421</v>
      </c>
      <c r="BD18">
        <v>167.5</v>
      </c>
      <c r="BE18" s="77">
        <v>0.41966426858512307</v>
      </c>
      <c r="BF18">
        <v>171.7</v>
      </c>
      <c r="BG18" s="77">
        <v>0.94062316284538383</v>
      </c>
      <c r="BH18">
        <v>109.71</v>
      </c>
      <c r="BI18" s="78">
        <f t="shared" si="0"/>
        <v>7.5693695460339256</v>
      </c>
    </row>
    <row r="19" spans="1:61" x14ac:dyDescent="0.3">
      <c r="A19" t="s">
        <v>34</v>
      </c>
      <c r="B19">
        <v>2022</v>
      </c>
      <c r="C19" t="s">
        <v>39</v>
      </c>
      <c r="D19">
        <v>155</v>
      </c>
      <c r="E19" s="75">
        <v>0.58403634003893501</v>
      </c>
      <c r="F19">
        <v>219.4</v>
      </c>
      <c r="G19" s="75">
        <v>1.1059907834101352</v>
      </c>
      <c r="H19">
        <v>170.8</v>
      </c>
      <c r="I19" s="75">
        <v>5.1724137931034448</v>
      </c>
      <c r="J19">
        <v>165.8</v>
      </c>
      <c r="K19" s="77">
        <v>0.54578532443905203</v>
      </c>
      <c r="L19">
        <v>200.9</v>
      </c>
      <c r="M19" s="77">
        <v>-0.74110671936759331</v>
      </c>
      <c r="N19">
        <v>169.7</v>
      </c>
      <c r="O19" s="77">
        <v>-0.76023391812866237</v>
      </c>
      <c r="P19">
        <v>182.3</v>
      </c>
      <c r="Q19" s="77">
        <v>4.2309891366495265</v>
      </c>
      <c r="R19">
        <v>164.3</v>
      </c>
      <c r="S19" s="77">
        <v>-0.24286581663629647</v>
      </c>
      <c r="T19">
        <v>119.9</v>
      </c>
      <c r="U19" s="77">
        <v>0.16708437761070627</v>
      </c>
      <c r="V19">
        <v>187.1</v>
      </c>
      <c r="W19" s="77">
        <v>1.1898323418063796</v>
      </c>
      <c r="X19">
        <v>167.9</v>
      </c>
      <c r="Y19" s="77">
        <v>0.4787552363854104</v>
      </c>
      <c r="Z19">
        <v>183.9</v>
      </c>
      <c r="AA19" s="77">
        <v>0.7671232876712395</v>
      </c>
      <c r="AB19">
        <v>174.9</v>
      </c>
      <c r="AC19" s="77">
        <v>0.92325447201385202</v>
      </c>
      <c r="AD19" s="78">
        <v>173.99230769230769</v>
      </c>
      <c r="AE19">
        <v>194.3</v>
      </c>
      <c r="AF19" s="77">
        <v>0.1030396702730485</v>
      </c>
      <c r="AG19">
        <v>177.1</v>
      </c>
      <c r="AH19" s="77">
        <v>0.85421412300684096</v>
      </c>
      <c r="AI19">
        <v>169.9</v>
      </c>
      <c r="AJ19" s="77">
        <v>0.8907363420427572</v>
      </c>
      <c r="AK19">
        <v>176</v>
      </c>
      <c r="AL19" s="77">
        <v>0.80183276059564434</v>
      </c>
      <c r="AM19" s="78">
        <v>174.33333333333334</v>
      </c>
      <c r="AN19">
        <v>166.8</v>
      </c>
      <c r="AO19" s="77">
        <v>-0.41791044776118724</v>
      </c>
      <c r="AP19">
        <v>176</v>
      </c>
      <c r="AQ19" s="77">
        <v>0.80183276059564434</v>
      </c>
      <c r="AR19">
        <v>166.4</v>
      </c>
      <c r="AS19" s="77">
        <v>0.72639225181599443</v>
      </c>
      <c r="AT19">
        <v>175.4</v>
      </c>
      <c r="AU19" s="77">
        <v>0.34324942791761259</v>
      </c>
      <c r="AV19">
        <v>161.1</v>
      </c>
      <c r="AW19" s="77">
        <v>-1.1656441717791495</v>
      </c>
      <c r="AX19">
        <v>165.8</v>
      </c>
      <c r="AY19" s="77">
        <v>0.42398546335556375</v>
      </c>
      <c r="AZ19">
        <v>169</v>
      </c>
      <c r="BA19" s="77">
        <v>0.65515187611673298</v>
      </c>
      <c r="BB19">
        <v>169.4</v>
      </c>
      <c r="BC19" s="77">
        <v>0.59382422802849533</v>
      </c>
      <c r="BD19">
        <v>167.5</v>
      </c>
      <c r="BE19" s="77">
        <v>0</v>
      </c>
      <c r="BF19">
        <v>172.6</v>
      </c>
      <c r="BG19" s="77">
        <v>0.52417006406524536</v>
      </c>
      <c r="BH19">
        <v>114.68</v>
      </c>
      <c r="BI19" s="78">
        <f t="shared" si="0"/>
        <v>4.5301248746695961</v>
      </c>
    </row>
    <row r="20" spans="1:61" x14ac:dyDescent="0.3">
      <c r="A20" t="s">
        <v>34</v>
      </c>
      <c r="B20">
        <v>2022</v>
      </c>
      <c r="C20" t="s">
        <v>40</v>
      </c>
      <c r="D20">
        <v>156.5</v>
      </c>
      <c r="E20" s="75">
        <v>0.96774193548387188</v>
      </c>
      <c r="F20">
        <v>213</v>
      </c>
      <c r="G20" s="75">
        <v>-2.9170464904284472</v>
      </c>
      <c r="H20">
        <v>175.2</v>
      </c>
      <c r="I20" s="75">
        <v>2.5761124121779631</v>
      </c>
      <c r="J20">
        <v>166.6</v>
      </c>
      <c r="K20" s="77">
        <v>0.48250904704462982</v>
      </c>
      <c r="L20">
        <v>195.8</v>
      </c>
      <c r="M20" s="77">
        <v>-2.5385764061722256</v>
      </c>
      <c r="N20">
        <v>174.2</v>
      </c>
      <c r="O20" s="77">
        <v>2.6517383618149637</v>
      </c>
      <c r="P20">
        <v>182.1</v>
      </c>
      <c r="Q20" s="77">
        <v>-0.10970927043335621</v>
      </c>
      <c r="R20">
        <v>164.3</v>
      </c>
      <c r="S20" s="77">
        <v>0</v>
      </c>
      <c r="T20">
        <v>120</v>
      </c>
      <c r="U20" s="77">
        <v>8.3402835696404054E-2</v>
      </c>
      <c r="V20">
        <v>190</v>
      </c>
      <c r="W20" s="77">
        <v>1.5499732763228309</v>
      </c>
      <c r="X20">
        <v>168.4</v>
      </c>
      <c r="Y20" s="77">
        <v>0.29779630732578255</v>
      </c>
      <c r="Z20">
        <v>185.2</v>
      </c>
      <c r="AA20" s="77">
        <v>0.70690592713430078</v>
      </c>
      <c r="AB20">
        <v>175</v>
      </c>
      <c r="AC20" s="77">
        <v>5.7175528873628423E-2</v>
      </c>
      <c r="AD20" s="78">
        <v>174.33076923076925</v>
      </c>
      <c r="AE20">
        <v>194.6</v>
      </c>
      <c r="AF20" s="77">
        <v>0.15440041173442864</v>
      </c>
      <c r="AG20">
        <v>178.3</v>
      </c>
      <c r="AH20" s="77">
        <v>0.6775832862789315</v>
      </c>
      <c r="AI20">
        <v>171.3</v>
      </c>
      <c r="AJ20" s="77">
        <v>0.8240141259564524</v>
      </c>
      <c r="AK20">
        <v>177.3</v>
      </c>
      <c r="AL20" s="77">
        <v>0.73863636363637397</v>
      </c>
      <c r="AM20" s="78">
        <v>175.63333333333335</v>
      </c>
      <c r="AN20">
        <v>167.8</v>
      </c>
      <c r="AO20" s="77">
        <v>0.59952038369304717</v>
      </c>
      <c r="AP20">
        <v>179.6</v>
      </c>
      <c r="AQ20" s="77">
        <v>2.0454545454545467</v>
      </c>
      <c r="AR20">
        <v>167.4</v>
      </c>
      <c r="AS20" s="77">
        <v>0.60096153846154721</v>
      </c>
      <c r="AT20">
        <v>176.1</v>
      </c>
      <c r="AU20" s="77">
        <v>0.39908779931583638</v>
      </c>
      <c r="AV20">
        <v>161.6</v>
      </c>
      <c r="AW20" s="77">
        <v>0.31036623215395309</v>
      </c>
      <c r="AX20">
        <v>166.3</v>
      </c>
      <c r="AY20" s="77">
        <v>0.30156815440290075</v>
      </c>
      <c r="AZ20">
        <v>171.4</v>
      </c>
      <c r="BA20" s="77">
        <v>1.42011834319527</v>
      </c>
      <c r="BB20">
        <v>169.7</v>
      </c>
      <c r="BC20" s="77">
        <v>0.17709563164108033</v>
      </c>
      <c r="BD20">
        <v>168.4</v>
      </c>
      <c r="BE20" s="77">
        <v>0.53731343283583044</v>
      </c>
      <c r="BF20">
        <v>173.4</v>
      </c>
      <c r="BG20" s="77">
        <v>0.46349942062573746</v>
      </c>
      <c r="BH20">
        <v>101.92</v>
      </c>
      <c r="BI20" s="78">
        <f t="shared" si="0"/>
        <v>-11.126613184513431</v>
      </c>
    </row>
    <row r="21" spans="1:61" x14ac:dyDescent="0.3">
      <c r="A21" t="s">
        <v>34</v>
      </c>
      <c r="B21">
        <v>2022</v>
      </c>
      <c r="C21" t="s">
        <v>41</v>
      </c>
      <c r="D21">
        <v>160.30000000000001</v>
      </c>
      <c r="E21" s="75">
        <v>2.4281150159744413</v>
      </c>
      <c r="F21">
        <v>206.5</v>
      </c>
      <c r="G21" s="75">
        <v>-3.0516431924882568</v>
      </c>
      <c r="H21">
        <v>169.2</v>
      </c>
      <c r="I21" s="75">
        <v>-3.4246575342465775</v>
      </c>
      <c r="J21">
        <v>168.1</v>
      </c>
      <c r="K21" s="77">
        <v>0.90036014405762899</v>
      </c>
      <c r="L21">
        <v>192.4</v>
      </c>
      <c r="M21" s="77">
        <v>-1.7364657814096063</v>
      </c>
      <c r="N21">
        <v>172.9</v>
      </c>
      <c r="O21" s="77">
        <v>-0.74626865671640985</v>
      </c>
      <c r="P21">
        <v>186.7</v>
      </c>
      <c r="Q21" s="77">
        <v>2.526084568918165</v>
      </c>
      <c r="R21">
        <v>167.2</v>
      </c>
      <c r="S21" s="77">
        <v>1.7650639074862937</v>
      </c>
      <c r="T21">
        <v>120.9</v>
      </c>
      <c r="U21" s="77">
        <v>0.75</v>
      </c>
      <c r="V21">
        <v>193.6</v>
      </c>
      <c r="W21" s="77">
        <v>1.8947368421052602</v>
      </c>
      <c r="X21">
        <v>168.8</v>
      </c>
      <c r="Y21" s="77">
        <v>0.23752969121140666</v>
      </c>
      <c r="Z21">
        <v>186.3</v>
      </c>
      <c r="AA21" s="77">
        <v>0.59395248380131704</v>
      </c>
      <c r="AB21">
        <v>176.3</v>
      </c>
      <c r="AC21" s="77">
        <v>0.74285714285716153</v>
      </c>
      <c r="AD21" s="78">
        <v>174.55384615384617</v>
      </c>
      <c r="AE21">
        <v>195</v>
      </c>
      <c r="AF21" s="77">
        <v>0.20554984583762348</v>
      </c>
      <c r="AG21">
        <v>179.5</v>
      </c>
      <c r="AH21" s="77">
        <v>0.673022994952305</v>
      </c>
      <c r="AI21">
        <v>172.7</v>
      </c>
      <c r="AJ21" s="77">
        <v>0.81727962638645124</v>
      </c>
      <c r="AK21">
        <v>178.5</v>
      </c>
      <c r="AL21" s="77">
        <v>0.67681895093060973</v>
      </c>
      <c r="AM21" s="78">
        <v>176.9</v>
      </c>
      <c r="AN21">
        <v>169</v>
      </c>
      <c r="AO21" s="77">
        <v>0.71513706793801646</v>
      </c>
      <c r="AP21">
        <v>178.8</v>
      </c>
      <c r="AQ21" s="77">
        <v>-0.44543429844097204</v>
      </c>
      <c r="AR21">
        <v>168.5</v>
      </c>
      <c r="AS21" s="77">
        <v>0.65710872162485146</v>
      </c>
      <c r="AT21">
        <v>176.8</v>
      </c>
      <c r="AU21" s="77">
        <v>0.39750141964793784</v>
      </c>
      <c r="AV21">
        <v>161.9</v>
      </c>
      <c r="AW21" s="77">
        <v>0.18564356435643958</v>
      </c>
      <c r="AX21">
        <v>166.9</v>
      </c>
      <c r="AY21" s="77">
        <v>0.36079374624173965</v>
      </c>
      <c r="AZ21">
        <v>172.3</v>
      </c>
      <c r="BA21" s="77">
        <v>0.52508751458577763</v>
      </c>
      <c r="BB21">
        <v>171.2</v>
      </c>
      <c r="BC21" s="77">
        <v>0.88391278727164035</v>
      </c>
      <c r="BD21">
        <v>169.1</v>
      </c>
      <c r="BE21" s="77">
        <v>0.41567695961994389</v>
      </c>
      <c r="BF21">
        <v>174.3</v>
      </c>
      <c r="BG21" s="77">
        <v>0.51903114186850985</v>
      </c>
      <c r="BH21">
        <v>93.69</v>
      </c>
      <c r="BI21" s="78">
        <f t="shared" si="0"/>
        <v>-8.0749607535321957</v>
      </c>
    </row>
    <row r="22" spans="1:61" x14ac:dyDescent="0.3">
      <c r="A22" t="s">
        <v>34</v>
      </c>
      <c r="B22">
        <v>2022</v>
      </c>
      <c r="C22" t="s">
        <v>42</v>
      </c>
      <c r="D22">
        <v>163.5</v>
      </c>
      <c r="E22" s="75">
        <v>1.9962570180910717</v>
      </c>
      <c r="F22">
        <v>209.2</v>
      </c>
      <c r="G22" s="75">
        <v>1.3075060532687672</v>
      </c>
      <c r="H22">
        <v>169.7</v>
      </c>
      <c r="I22" s="75">
        <v>0.29550827423167902</v>
      </c>
      <c r="J22">
        <v>169.7</v>
      </c>
      <c r="K22" s="77">
        <v>0.95181439619274499</v>
      </c>
      <c r="L22">
        <v>188.7</v>
      </c>
      <c r="M22" s="77">
        <v>-1.923076923076934</v>
      </c>
      <c r="N22">
        <v>165.7</v>
      </c>
      <c r="O22" s="77">
        <v>-4.1642567958357546</v>
      </c>
      <c r="P22">
        <v>191.8</v>
      </c>
      <c r="Q22" s="77">
        <v>2.7316550615961575</v>
      </c>
      <c r="R22">
        <v>169.1</v>
      </c>
      <c r="S22" s="77">
        <v>1.1363636363636402</v>
      </c>
      <c r="T22">
        <v>121.6</v>
      </c>
      <c r="U22" s="77">
        <v>0.57899090157154376</v>
      </c>
      <c r="V22">
        <v>197.3</v>
      </c>
      <c r="W22" s="77">
        <v>1.9111570247933827</v>
      </c>
      <c r="X22">
        <v>169.4</v>
      </c>
      <c r="Y22" s="77">
        <v>0.3554502369668171</v>
      </c>
      <c r="Z22">
        <v>187.4</v>
      </c>
      <c r="AA22" s="77">
        <v>0.59044551798174894</v>
      </c>
      <c r="AB22">
        <v>177.8</v>
      </c>
      <c r="AC22" s="77">
        <v>0.85082246171299403</v>
      </c>
      <c r="AD22" s="78">
        <v>175.45384615384617</v>
      </c>
      <c r="AE22">
        <v>195.9</v>
      </c>
      <c r="AF22" s="77">
        <v>0.461538461538467</v>
      </c>
      <c r="AG22">
        <v>180.9</v>
      </c>
      <c r="AH22" s="77">
        <v>0.77994428969358864</v>
      </c>
      <c r="AI22">
        <v>174.3</v>
      </c>
      <c r="AJ22" s="77">
        <v>0.92646207295889837</v>
      </c>
      <c r="AK22">
        <v>179.9</v>
      </c>
      <c r="AL22" s="77">
        <v>0.78431372549019329</v>
      </c>
      <c r="AM22" s="78">
        <v>178.36666666666667</v>
      </c>
      <c r="AN22">
        <v>169.5</v>
      </c>
      <c r="AO22" s="77">
        <v>0.29585798816566466</v>
      </c>
      <c r="AP22">
        <v>179.5</v>
      </c>
      <c r="AQ22" s="77">
        <v>0.39149888143174394</v>
      </c>
      <c r="AR22">
        <v>169.5</v>
      </c>
      <c r="AS22" s="77">
        <v>0.59347181008901373</v>
      </c>
      <c r="AT22">
        <v>177.8</v>
      </c>
      <c r="AU22" s="77">
        <v>0.56561085972850833</v>
      </c>
      <c r="AV22">
        <v>162.30000000000001</v>
      </c>
      <c r="AW22" s="77">
        <v>0.24706609017913195</v>
      </c>
      <c r="AX22">
        <v>167.6</v>
      </c>
      <c r="AY22" s="77">
        <v>0.4194128220491109</v>
      </c>
      <c r="AZ22">
        <v>173.1</v>
      </c>
      <c r="BA22" s="77">
        <v>0.46430644225188189</v>
      </c>
      <c r="BB22">
        <v>170.9</v>
      </c>
      <c r="BC22" s="77">
        <v>-0.17523364485980153</v>
      </c>
      <c r="BD22">
        <v>169.7</v>
      </c>
      <c r="BE22" s="77">
        <v>0.35481963335304556</v>
      </c>
      <c r="BF22">
        <v>175.3</v>
      </c>
      <c r="BG22" s="77">
        <v>0.57372346528971718</v>
      </c>
      <c r="BH22">
        <v>84.4</v>
      </c>
      <c r="BI22" s="78">
        <f t="shared" si="0"/>
        <v>-9.9156793681289201</v>
      </c>
    </row>
    <row r="23" spans="1:61" x14ac:dyDescent="0.3">
      <c r="A23" t="s">
        <v>34</v>
      </c>
      <c r="B23">
        <v>2022</v>
      </c>
      <c r="C23" t="s">
        <v>43</v>
      </c>
      <c r="D23">
        <v>165.2</v>
      </c>
      <c r="E23" s="75">
        <v>1.0397553516819471</v>
      </c>
      <c r="F23">
        <v>210.9</v>
      </c>
      <c r="G23" s="75">
        <v>0.81261950286808826</v>
      </c>
      <c r="H23">
        <v>170.9</v>
      </c>
      <c r="I23" s="75">
        <v>0.70713022981733786</v>
      </c>
      <c r="J23">
        <v>170.9</v>
      </c>
      <c r="K23" s="77">
        <v>0.70713022981733786</v>
      </c>
      <c r="L23">
        <v>186.5</v>
      </c>
      <c r="M23" s="77">
        <v>-1.1658717541070445</v>
      </c>
      <c r="N23">
        <v>163.80000000000001</v>
      </c>
      <c r="O23" s="77">
        <v>-1.1466505733252745</v>
      </c>
      <c r="P23">
        <v>199.7</v>
      </c>
      <c r="Q23" s="77">
        <v>4.1188738269030125</v>
      </c>
      <c r="R23">
        <v>169.8</v>
      </c>
      <c r="S23" s="77">
        <v>0.41395623891189359</v>
      </c>
      <c r="T23">
        <v>121.9</v>
      </c>
      <c r="U23" s="77">
        <v>0.24671052631579471</v>
      </c>
      <c r="V23">
        <v>199.9</v>
      </c>
      <c r="W23" s="77">
        <v>1.3177901672579679</v>
      </c>
      <c r="X23">
        <v>169.9</v>
      </c>
      <c r="Y23" s="77">
        <v>0.29515938606847669</v>
      </c>
      <c r="Z23">
        <v>188.3</v>
      </c>
      <c r="AA23" s="77">
        <v>0.4802561366061866</v>
      </c>
      <c r="AB23">
        <v>179.6</v>
      </c>
      <c r="AC23" s="77">
        <v>1.0123734533183324</v>
      </c>
      <c r="AD23" s="78">
        <v>176.71538461538464</v>
      </c>
      <c r="AE23">
        <v>196.3</v>
      </c>
      <c r="AF23" s="77">
        <v>0.20418580908628314</v>
      </c>
      <c r="AG23">
        <v>181.9</v>
      </c>
      <c r="AH23" s="77">
        <v>0.5527915975677189</v>
      </c>
      <c r="AI23">
        <v>175.3</v>
      </c>
      <c r="AJ23" s="77">
        <v>0.57372346528971718</v>
      </c>
      <c r="AK23">
        <v>181</v>
      </c>
      <c r="AL23" s="77">
        <v>0.61145080600333301</v>
      </c>
      <c r="AM23" s="78">
        <v>179.4</v>
      </c>
      <c r="AN23">
        <v>171.2</v>
      </c>
      <c r="AO23" s="77">
        <v>1.0029498525073706</v>
      </c>
      <c r="AP23">
        <v>180.5</v>
      </c>
      <c r="AQ23" s="77">
        <v>0.55710306406683685</v>
      </c>
      <c r="AR23">
        <v>170.4</v>
      </c>
      <c r="AS23" s="77">
        <v>0.53097345132744067</v>
      </c>
      <c r="AT23">
        <v>178.7</v>
      </c>
      <c r="AU23" s="77">
        <v>0.5061867266591662</v>
      </c>
      <c r="AV23">
        <v>162.9</v>
      </c>
      <c r="AW23" s="77">
        <v>0.36968576709797674</v>
      </c>
      <c r="AX23">
        <v>168.2</v>
      </c>
      <c r="AY23" s="77">
        <v>0.35799522673029571</v>
      </c>
      <c r="AZ23">
        <v>173.4</v>
      </c>
      <c r="BA23" s="77">
        <v>0.17331022530329676</v>
      </c>
      <c r="BB23">
        <v>172.1</v>
      </c>
      <c r="BC23" s="77">
        <v>0.70216500877707233</v>
      </c>
      <c r="BD23">
        <v>170.5</v>
      </c>
      <c r="BE23" s="77">
        <v>0.47142015321155384</v>
      </c>
      <c r="BF23">
        <v>176.7</v>
      </c>
      <c r="BG23" s="77">
        <v>0.79863091842553047</v>
      </c>
      <c r="BH23">
        <v>87.29</v>
      </c>
      <c r="BI23" s="78">
        <f t="shared" si="0"/>
        <v>3.4241706161137557</v>
      </c>
    </row>
    <row r="24" spans="1:61" x14ac:dyDescent="0.3">
      <c r="A24" t="s">
        <v>34</v>
      </c>
      <c r="B24">
        <v>2022</v>
      </c>
      <c r="C24" t="s">
        <v>45</v>
      </c>
      <c r="D24">
        <v>167.4</v>
      </c>
      <c r="E24" s="75">
        <v>1.3317191283292971</v>
      </c>
      <c r="F24">
        <v>209.4</v>
      </c>
      <c r="G24" s="75">
        <v>-0.71123755334281213</v>
      </c>
      <c r="H24">
        <v>181.4</v>
      </c>
      <c r="I24" s="75">
        <v>6.1439438267993012</v>
      </c>
      <c r="J24">
        <v>172.3</v>
      </c>
      <c r="K24" s="77">
        <v>0.81919251023991535</v>
      </c>
      <c r="L24">
        <v>188.9</v>
      </c>
      <c r="M24" s="77">
        <v>1.2868632707774736</v>
      </c>
      <c r="N24">
        <v>160.69999999999999</v>
      </c>
      <c r="O24" s="77">
        <v>-1.8925518925519071</v>
      </c>
      <c r="P24">
        <v>183.1</v>
      </c>
      <c r="Q24" s="77">
        <v>-8.3124687030545772</v>
      </c>
      <c r="R24">
        <v>170.5</v>
      </c>
      <c r="S24" s="77">
        <v>0.41224970553592755</v>
      </c>
      <c r="T24">
        <v>122.1</v>
      </c>
      <c r="U24" s="77">
        <v>0.16406890894174353</v>
      </c>
      <c r="V24">
        <v>202.8</v>
      </c>
      <c r="W24" s="77">
        <v>1.4507253626813394</v>
      </c>
      <c r="X24">
        <v>170.4</v>
      </c>
      <c r="Y24" s="77">
        <v>0.29429075927016868</v>
      </c>
      <c r="Z24">
        <v>189.5</v>
      </c>
      <c r="AA24" s="77">
        <v>0.6372809346786994</v>
      </c>
      <c r="AB24">
        <v>178.3</v>
      </c>
      <c r="AC24" s="77">
        <v>-0.72383073496658312</v>
      </c>
      <c r="AD24" s="78">
        <v>176.67692307692309</v>
      </c>
      <c r="AE24">
        <v>196.9</v>
      </c>
      <c r="AF24" s="77">
        <v>0.30565461029037522</v>
      </c>
      <c r="AG24">
        <v>183.1</v>
      </c>
      <c r="AH24" s="77">
        <v>0.65970313358987198</v>
      </c>
      <c r="AI24">
        <v>176.2</v>
      </c>
      <c r="AJ24" s="77">
        <v>0.51340559041641143</v>
      </c>
      <c r="AK24">
        <v>182.1</v>
      </c>
      <c r="AL24" s="77">
        <v>0.60773480662983559</v>
      </c>
      <c r="AM24" s="78">
        <v>180.46666666666667</v>
      </c>
      <c r="AN24">
        <v>171.8</v>
      </c>
      <c r="AO24" s="77">
        <v>0.35046728971963148</v>
      </c>
      <c r="AP24">
        <v>181.3</v>
      </c>
      <c r="AQ24" s="77">
        <v>0.44321329639889484</v>
      </c>
      <c r="AR24">
        <v>171.4</v>
      </c>
      <c r="AS24" s="77">
        <v>0.58685446009390319</v>
      </c>
      <c r="AT24">
        <v>179.8</v>
      </c>
      <c r="AU24" s="77">
        <v>0.61555679910465244</v>
      </c>
      <c r="AV24">
        <v>163</v>
      </c>
      <c r="AW24" s="77">
        <v>6.138735420502428E-2</v>
      </c>
      <c r="AX24">
        <v>168.5</v>
      </c>
      <c r="AY24" s="77">
        <v>0.17835909631391189</v>
      </c>
      <c r="AZ24">
        <v>173.7</v>
      </c>
      <c r="BA24" s="77">
        <v>0.17301038062282714</v>
      </c>
      <c r="BB24">
        <v>173.6</v>
      </c>
      <c r="BC24" s="77">
        <v>0.87158628704241892</v>
      </c>
      <c r="BD24">
        <v>171.1</v>
      </c>
      <c r="BE24" s="77">
        <v>0.35190615835776384</v>
      </c>
      <c r="BF24">
        <v>176.5</v>
      </c>
      <c r="BG24" s="77">
        <v>-0.11318619128465457</v>
      </c>
      <c r="BH24">
        <v>84.08</v>
      </c>
      <c r="BI24" s="78">
        <f t="shared" si="0"/>
        <v>-3.6773971818077769</v>
      </c>
    </row>
    <row r="25" spans="1:61" x14ac:dyDescent="0.3">
      <c r="A25" t="s">
        <v>34</v>
      </c>
      <c r="B25">
        <v>2022</v>
      </c>
      <c r="C25" t="s">
        <v>46</v>
      </c>
      <c r="D25">
        <v>169.2</v>
      </c>
      <c r="E25" s="75">
        <v>1.0752688172043037</v>
      </c>
      <c r="F25">
        <v>209</v>
      </c>
      <c r="G25" s="75">
        <v>-0.1910219675262681</v>
      </c>
      <c r="H25">
        <v>190.2</v>
      </c>
      <c r="I25" s="75">
        <v>4.8511576626240327</v>
      </c>
      <c r="J25">
        <v>173.6</v>
      </c>
      <c r="K25" s="77">
        <v>0.75449796865929386</v>
      </c>
      <c r="L25">
        <v>188.5</v>
      </c>
      <c r="M25" s="77">
        <v>-0.21175224986765784</v>
      </c>
      <c r="N25">
        <v>158</v>
      </c>
      <c r="O25" s="77">
        <v>-1.6801493466085873</v>
      </c>
      <c r="P25">
        <v>159.9</v>
      </c>
      <c r="Q25" s="77">
        <v>-12.670671764063343</v>
      </c>
      <c r="R25">
        <v>170.8</v>
      </c>
      <c r="S25" s="77">
        <v>0.17595307917889613</v>
      </c>
      <c r="T25">
        <v>121.8</v>
      </c>
      <c r="U25" s="77">
        <v>-0.24570024570024884</v>
      </c>
      <c r="V25">
        <v>205.2</v>
      </c>
      <c r="W25" s="77">
        <v>1.1834319526627013</v>
      </c>
      <c r="X25">
        <v>171</v>
      </c>
      <c r="Y25" s="77">
        <v>0.35211267605632202</v>
      </c>
      <c r="Z25">
        <v>190.3</v>
      </c>
      <c r="AA25" s="77">
        <v>0.42216358839051793</v>
      </c>
      <c r="AB25">
        <v>175.9</v>
      </c>
      <c r="AC25" s="77">
        <v>-1.3460459899046526</v>
      </c>
      <c r="AD25" s="78">
        <v>175.64615384615385</v>
      </c>
      <c r="AE25">
        <v>197.3</v>
      </c>
      <c r="AF25" s="77">
        <v>0.20314880650076361</v>
      </c>
      <c r="AG25">
        <v>184</v>
      </c>
      <c r="AH25" s="77">
        <v>0.49153468050246829</v>
      </c>
      <c r="AI25">
        <v>177</v>
      </c>
      <c r="AJ25" s="77">
        <v>0.45402951191829288</v>
      </c>
      <c r="AK25">
        <v>183</v>
      </c>
      <c r="AL25" s="77">
        <v>0.49423393739704125</v>
      </c>
      <c r="AM25" s="78">
        <v>181.33333333333334</v>
      </c>
      <c r="AN25">
        <v>170.7</v>
      </c>
      <c r="AO25" s="77">
        <v>-0.64027939464494921</v>
      </c>
      <c r="AP25">
        <v>182</v>
      </c>
      <c r="AQ25" s="77">
        <v>0.38610038610038089</v>
      </c>
      <c r="AR25">
        <v>172.1</v>
      </c>
      <c r="AS25" s="77">
        <v>0.40840140023337312</v>
      </c>
      <c r="AT25">
        <v>181.1</v>
      </c>
      <c r="AU25" s="77">
        <v>0.72302558398217798</v>
      </c>
      <c r="AV25">
        <v>163.4</v>
      </c>
      <c r="AW25" s="77">
        <v>0.24539877300613</v>
      </c>
      <c r="AX25">
        <v>168.9</v>
      </c>
      <c r="AY25" s="77">
        <v>0.23738872403559697</v>
      </c>
      <c r="AZ25">
        <v>174.1</v>
      </c>
      <c r="BA25" s="77">
        <v>0.23028209556707679</v>
      </c>
      <c r="BB25">
        <v>175.8</v>
      </c>
      <c r="BC25" s="77">
        <v>1.26728110599079</v>
      </c>
      <c r="BD25">
        <v>172</v>
      </c>
      <c r="BE25" s="77">
        <v>0.52600818234951419</v>
      </c>
      <c r="BF25">
        <v>175.7</v>
      </c>
      <c r="BG25" s="77">
        <v>-0.45325779036828351</v>
      </c>
      <c r="BH25">
        <v>76.58</v>
      </c>
      <c r="BI25" s="78">
        <f t="shared" si="0"/>
        <v>-8.9200761179828731</v>
      </c>
    </row>
    <row r="26" spans="1:61" x14ac:dyDescent="0.3">
      <c r="A26" t="s">
        <v>34</v>
      </c>
      <c r="B26">
        <v>2023</v>
      </c>
      <c r="C26" t="s">
        <v>31</v>
      </c>
      <c r="D26">
        <v>173.8</v>
      </c>
      <c r="E26" s="75">
        <v>2.7186761229314698</v>
      </c>
      <c r="F26">
        <v>210.7</v>
      </c>
      <c r="G26" s="75">
        <v>0.81339712918659757</v>
      </c>
      <c r="H26">
        <v>194.5</v>
      </c>
      <c r="I26" s="75">
        <v>2.2607781282860202</v>
      </c>
      <c r="J26">
        <v>174.6</v>
      </c>
      <c r="K26" s="77">
        <v>0.57603686635945905</v>
      </c>
      <c r="L26">
        <v>187.2</v>
      </c>
      <c r="M26" s="77">
        <v>-0.68965517241379359</v>
      </c>
      <c r="N26">
        <v>158.30000000000001</v>
      </c>
      <c r="O26" s="77">
        <v>0.18987341772151467</v>
      </c>
      <c r="P26">
        <v>153.9</v>
      </c>
      <c r="Q26" s="77">
        <v>-3.7523452157598456</v>
      </c>
      <c r="R26">
        <v>170.9</v>
      </c>
      <c r="S26" s="77">
        <v>5.8548009367683562E-2</v>
      </c>
      <c r="T26">
        <v>121.1</v>
      </c>
      <c r="U26" s="77">
        <v>-0.57471264367816843</v>
      </c>
      <c r="V26">
        <v>208.4</v>
      </c>
      <c r="W26" s="77">
        <v>1.5594541910331401</v>
      </c>
      <c r="X26">
        <v>171.4</v>
      </c>
      <c r="Y26" s="77">
        <v>0.2339181286549632</v>
      </c>
      <c r="Z26">
        <v>191.2</v>
      </c>
      <c r="AA26" s="77">
        <v>0.47293746715710938</v>
      </c>
      <c r="AB26">
        <v>176.7</v>
      </c>
      <c r="AC26" s="77">
        <v>0.45480386583285792</v>
      </c>
      <c r="AD26" s="78">
        <v>176.36153846153846</v>
      </c>
      <c r="AE26">
        <v>198.2</v>
      </c>
      <c r="AF26" s="77">
        <v>0.45615813482004341</v>
      </c>
      <c r="AG26">
        <v>184.9</v>
      </c>
      <c r="AH26" s="77">
        <v>0.48913043478260931</v>
      </c>
      <c r="AI26">
        <v>177.6</v>
      </c>
      <c r="AJ26" s="77">
        <v>0.33898305084744607</v>
      </c>
      <c r="AK26">
        <v>183.8</v>
      </c>
      <c r="AL26" s="77">
        <v>0.43715846994535923</v>
      </c>
      <c r="AM26" s="78">
        <v>182.1</v>
      </c>
      <c r="AN26">
        <v>172.1</v>
      </c>
      <c r="AO26" s="77">
        <v>0.82015231400116306</v>
      </c>
      <c r="AP26">
        <v>182</v>
      </c>
      <c r="AQ26" s="77">
        <v>0</v>
      </c>
      <c r="AR26">
        <v>172.9</v>
      </c>
      <c r="AS26" s="77">
        <v>0.46484601975595297</v>
      </c>
      <c r="AT26">
        <v>182.3</v>
      </c>
      <c r="AU26" s="77">
        <v>0.6626173384870242</v>
      </c>
      <c r="AV26">
        <v>163.6</v>
      </c>
      <c r="AW26" s="77">
        <v>0.12239902080781917</v>
      </c>
      <c r="AX26">
        <v>169.5</v>
      </c>
      <c r="AY26" s="77">
        <v>0.35523978685611723</v>
      </c>
      <c r="AZ26">
        <v>174.3</v>
      </c>
      <c r="BA26" s="77">
        <v>0.11487650775417535</v>
      </c>
      <c r="BB26">
        <v>178.6</v>
      </c>
      <c r="BC26" s="77">
        <v>1.592718998862324</v>
      </c>
      <c r="BD26">
        <v>172.8</v>
      </c>
      <c r="BE26" s="77">
        <v>0.46511627906977537</v>
      </c>
      <c r="BF26">
        <v>176.5</v>
      </c>
      <c r="BG26" s="77">
        <v>0.45532157085943936</v>
      </c>
      <c r="BH26">
        <v>78.25</v>
      </c>
      <c r="BI26" s="78">
        <f t="shared" si="0"/>
        <v>2.1807260381300608</v>
      </c>
    </row>
    <row r="27" spans="1:61" x14ac:dyDescent="0.3">
      <c r="A27" t="s">
        <v>34</v>
      </c>
      <c r="B27">
        <v>2023</v>
      </c>
      <c r="C27" t="s">
        <v>35</v>
      </c>
      <c r="D27">
        <v>174.4</v>
      </c>
      <c r="E27" s="75">
        <v>0.3452243958573149</v>
      </c>
      <c r="F27">
        <v>207.7</v>
      </c>
      <c r="G27" s="75">
        <v>-1.4238253440911279</v>
      </c>
      <c r="H27">
        <v>175.2</v>
      </c>
      <c r="I27" s="75">
        <v>-9.9228791773778937</v>
      </c>
      <c r="J27">
        <v>177.3</v>
      </c>
      <c r="K27" s="77">
        <v>1.5463917525773354</v>
      </c>
      <c r="L27">
        <v>179.3</v>
      </c>
      <c r="M27" s="77">
        <v>-4.2200854700854507</v>
      </c>
      <c r="N27">
        <v>169.5</v>
      </c>
      <c r="O27" s="77">
        <v>7.0751737207833258</v>
      </c>
      <c r="P27">
        <v>152.69999999999999</v>
      </c>
      <c r="Q27" s="77">
        <v>-0.77972709551657715</v>
      </c>
      <c r="R27">
        <v>171</v>
      </c>
      <c r="S27" s="77">
        <v>5.851375073142151E-2</v>
      </c>
      <c r="T27">
        <v>120</v>
      </c>
      <c r="U27" s="77">
        <v>-0.90834021469858328</v>
      </c>
      <c r="V27">
        <v>209.7</v>
      </c>
      <c r="W27" s="77">
        <v>0.62380038387715331</v>
      </c>
      <c r="X27">
        <v>172.3</v>
      </c>
      <c r="Y27" s="77">
        <v>0.52508751458577763</v>
      </c>
      <c r="Z27">
        <v>193</v>
      </c>
      <c r="AA27" s="77">
        <v>0.94142259414226714</v>
      </c>
      <c r="AB27">
        <v>177</v>
      </c>
      <c r="AC27" s="77">
        <v>0.16977928692701028</v>
      </c>
      <c r="AD27" s="78">
        <v>175.3153846153846</v>
      </c>
      <c r="AE27">
        <v>199.5</v>
      </c>
      <c r="AF27" s="77">
        <v>0.65590312815338336</v>
      </c>
      <c r="AG27">
        <v>186.2</v>
      </c>
      <c r="AH27" s="77">
        <v>0.70308274743102572</v>
      </c>
      <c r="AI27">
        <v>178.7</v>
      </c>
      <c r="AJ27" s="77">
        <v>0.61936936936936604</v>
      </c>
      <c r="AK27">
        <v>185.1</v>
      </c>
      <c r="AL27" s="77">
        <v>0.70729053318822821</v>
      </c>
      <c r="AM27" s="78">
        <v>183.33333333333334</v>
      </c>
      <c r="AN27">
        <v>173.5</v>
      </c>
      <c r="AO27" s="77">
        <v>0.8134805345729319</v>
      </c>
      <c r="AP27">
        <v>182.1</v>
      </c>
      <c r="AQ27" s="77">
        <v>5.4945054945051197E-2</v>
      </c>
      <c r="AR27">
        <v>174.2</v>
      </c>
      <c r="AS27" s="77">
        <v>0.75187969924810716</v>
      </c>
      <c r="AT27">
        <v>184.4</v>
      </c>
      <c r="AU27" s="77">
        <v>1.1519473395501905</v>
      </c>
      <c r="AV27">
        <v>164.2</v>
      </c>
      <c r="AW27" s="77">
        <v>0.36674816625917117</v>
      </c>
      <c r="AX27">
        <v>170.3</v>
      </c>
      <c r="AY27" s="77">
        <v>0.47197640117995832</v>
      </c>
      <c r="AZ27">
        <v>175</v>
      </c>
      <c r="BA27" s="77">
        <v>0.40160642570279492</v>
      </c>
      <c r="BB27">
        <v>181</v>
      </c>
      <c r="BC27" s="77">
        <v>1.3437849944009059</v>
      </c>
      <c r="BD27">
        <v>174.1</v>
      </c>
      <c r="BE27" s="77">
        <v>0.75231481481480955</v>
      </c>
      <c r="BF27">
        <v>177.2</v>
      </c>
      <c r="BG27" s="77">
        <v>0.39660056657223208</v>
      </c>
      <c r="BH27">
        <v>77.03</v>
      </c>
      <c r="BI27" s="78">
        <f t="shared" si="0"/>
        <v>-1.5591054313099022</v>
      </c>
    </row>
    <row r="28" spans="1:61" x14ac:dyDescent="0.3">
      <c r="A28" t="s">
        <v>34</v>
      </c>
      <c r="B28">
        <v>2023</v>
      </c>
      <c r="C28" t="s">
        <v>36</v>
      </c>
      <c r="D28">
        <v>174.4</v>
      </c>
      <c r="E28" s="75">
        <v>0</v>
      </c>
      <c r="F28">
        <v>207.7</v>
      </c>
      <c r="G28" s="75">
        <v>0</v>
      </c>
      <c r="H28">
        <v>175.2</v>
      </c>
      <c r="I28" s="75">
        <v>0</v>
      </c>
      <c r="J28">
        <v>177.3</v>
      </c>
      <c r="K28" s="77">
        <v>0</v>
      </c>
      <c r="L28">
        <v>179.2</v>
      </c>
      <c r="M28" s="77">
        <v>-5.577244841049378E-2</v>
      </c>
      <c r="N28">
        <v>169.5</v>
      </c>
      <c r="O28" s="77">
        <v>0</v>
      </c>
      <c r="P28">
        <v>152.80000000000001</v>
      </c>
      <c r="Q28" s="77">
        <v>6.548788474134426E-2</v>
      </c>
      <c r="R28">
        <v>171.1</v>
      </c>
      <c r="S28" s="77">
        <v>5.8479532163730141E-2</v>
      </c>
      <c r="T28">
        <v>120</v>
      </c>
      <c r="U28" s="77">
        <v>0</v>
      </c>
      <c r="V28">
        <v>209.7</v>
      </c>
      <c r="W28" s="77">
        <v>0</v>
      </c>
      <c r="X28">
        <v>172.3</v>
      </c>
      <c r="Y28" s="77">
        <v>0</v>
      </c>
      <c r="Z28">
        <v>193</v>
      </c>
      <c r="AA28" s="77">
        <v>0</v>
      </c>
      <c r="AB28">
        <v>177</v>
      </c>
      <c r="AC28" s="77">
        <v>0</v>
      </c>
      <c r="AD28" s="78">
        <v>175.32307692307691</v>
      </c>
      <c r="AE28">
        <v>199.5</v>
      </c>
      <c r="AF28" s="77">
        <v>0</v>
      </c>
      <c r="AG28">
        <v>186.1</v>
      </c>
      <c r="AH28" s="77">
        <v>-5.370569280343318E-2</v>
      </c>
      <c r="AI28">
        <v>178.7</v>
      </c>
      <c r="AJ28" s="77">
        <v>0</v>
      </c>
      <c r="AK28">
        <v>185.1</v>
      </c>
      <c r="AL28" s="77">
        <v>0</v>
      </c>
      <c r="AM28" s="78">
        <v>183.29999999999998</v>
      </c>
      <c r="AN28">
        <v>173.5</v>
      </c>
      <c r="AO28" s="77">
        <v>0</v>
      </c>
      <c r="AP28">
        <v>181.9</v>
      </c>
      <c r="AQ28" s="77">
        <v>-0.10982976386600285</v>
      </c>
      <c r="AR28">
        <v>174.2</v>
      </c>
      <c r="AS28" s="77">
        <v>0</v>
      </c>
      <c r="AT28">
        <v>184.4</v>
      </c>
      <c r="AU28" s="77">
        <v>0</v>
      </c>
      <c r="AV28">
        <v>164.2</v>
      </c>
      <c r="AW28" s="77">
        <v>0</v>
      </c>
      <c r="AX28">
        <v>170.3</v>
      </c>
      <c r="AY28" s="77">
        <v>0</v>
      </c>
      <c r="AZ28">
        <v>175</v>
      </c>
      <c r="BA28" s="77">
        <v>0</v>
      </c>
      <c r="BB28">
        <v>181</v>
      </c>
      <c r="BC28" s="77">
        <v>0</v>
      </c>
      <c r="BD28">
        <v>174.1</v>
      </c>
      <c r="BE28" s="77">
        <v>0</v>
      </c>
      <c r="BF28">
        <v>177.2</v>
      </c>
      <c r="BG28" s="77">
        <v>0</v>
      </c>
      <c r="BH28">
        <v>73.349999999999994</v>
      </c>
      <c r="BI28" s="78">
        <f t="shared" si="0"/>
        <v>-4.7773594703362363</v>
      </c>
    </row>
    <row r="29" spans="1:61" x14ac:dyDescent="0.3">
      <c r="A29" t="s">
        <v>34</v>
      </c>
      <c r="B29">
        <v>2023</v>
      </c>
      <c r="C29" t="s">
        <v>37</v>
      </c>
      <c r="D29">
        <v>173.8</v>
      </c>
      <c r="E29" s="75">
        <v>-0.34403669724770225</v>
      </c>
      <c r="F29">
        <v>209.3</v>
      </c>
      <c r="G29" s="75">
        <v>0.77034183919116117</v>
      </c>
      <c r="H29">
        <v>169.6</v>
      </c>
      <c r="I29" s="75">
        <v>-3.1963470319634695</v>
      </c>
      <c r="J29">
        <v>178.4</v>
      </c>
      <c r="K29" s="77">
        <v>0.62041737168641475</v>
      </c>
      <c r="L29">
        <v>174.9</v>
      </c>
      <c r="M29" s="77">
        <v>-2.3995535714285552</v>
      </c>
      <c r="N29">
        <v>176.3</v>
      </c>
      <c r="O29" s="77">
        <v>4.0117994100295107</v>
      </c>
      <c r="P29">
        <v>155.4</v>
      </c>
      <c r="Q29" s="77">
        <v>1.7015706806282651</v>
      </c>
      <c r="R29">
        <v>173.4</v>
      </c>
      <c r="S29" s="77">
        <v>1.3442431326709681</v>
      </c>
      <c r="T29">
        <v>121.3</v>
      </c>
      <c r="U29" s="77">
        <v>1.0833333333333286</v>
      </c>
      <c r="V29">
        <v>212.9</v>
      </c>
      <c r="W29" s="77">
        <v>1.5259895088221498</v>
      </c>
      <c r="X29">
        <v>172.9</v>
      </c>
      <c r="Y29" s="77">
        <v>0.34822983168891142</v>
      </c>
      <c r="Z29">
        <v>193.5</v>
      </c>
      <c r="AA29" s="77">
        <v>0.25906735751294718</v>
      </c>
      <c r="AB29">
        <v>177.9</v>
      </c>
      <c r="AC29" s="77">
        <v>0.50847457627118331</v>
      </c>
      <c r="AD29" s="78">
        <v>176.12307692307695</v>
      </c>
      <c r="AE29">
        <v>200.6</v>
      </c>
      <c r="AF29" s="77">
        <v>0.55137844611527953</v>
      </c>
      <c r="AG29">
        <v>186.9</v>
      </c>
      <c r="AH29" s="77">
        <v>0.42987641053198899</v>
      </c>
      <c r="AI29">
        <v>179.2</v>
      </c>
      <c r="AJ29" s="77">
        <v>0.27979854504755508</v>
      </c>
      <c r="AK29">
        <v>185.7</v>
      </c>
      <c r="AL29" s="77">
        <v>0.32414910858994972</v>
      </c>
      <c r="AM29" s="78">
        <v>183.93333333333331</v>
      </c>
      <c r="AN29">
        <v>175.2</v>
      </c>
      <c r="AO29" s="77">
        <v>0.97982708933716367</v>
      </c>
      <c r="AP29">
        <v>181.7</v>
      </c>
      <c r="AQ29" s="77">
        <v>-0.10995052226499524</v>
      </c>
      <c r="AR29">
        <v>174.6</v>
      </c>
      <c r="AS29" s="77">
        <v>0.22962112514350963</v>
      </c>
      <c r="AT29">
        <v>185</v>
      </c>
      <c r="AU29" s="77">
        <v>0.32537960954445566</v>
      </c>
      <c r="AV29">
        <v>164.5</v>
      </c>
      <c r="AW29" s="77">
        <v>0.18270401948842618</v>
      </c>
      <c r="AX29">
        <v>170.7</v>
      </c>
      <c r="AY29" s="77">
        <v>0.234879624192601</v>
      </c>
      <c r="AZ29">
        <v>176.4</v>
      </c>
      <c r="BA29" s="77">
        <v>0.79999999999999716</v>
      </c>
      <c r="BB29">
        <v>184</v>
      </c>
      <c r="BC29" s="77">
        <v>1.6574585635359256</v>
      </c>
      <c r="BD29">
        <v>175</v>
      </c>
      <c r="BE29" s="77">
        <v>0.51694428489375355</v>
      </c>
      <c r="BF29">
        <v>178.1</v>
      </c>
      <c r="BG29" s="77">
        <v>0.50790067720089382</v>
      </c>
      <c r="BH29">
        <v>79.13</v>
      </c>
      <c r="BI29" s="78">
        <f t="shared" si="0"/>
        <v>7.8800272665303481</v>
      </c>
    </row>
    <row r="30" spans="1:61" x14ac:dyDescent="0.3">
      <c r="A30" t="s">
        <v>34</v>
      </c>
      <c r="B30">
        <v>2023</v>
      </c>
      <c r="C30" t="s">
        <v>38</v>
      </c>
      <c r="D30">
        <v>173.7</v>
      </c>
      <c r="E30" s="75">
        <v>-5.7537399309552484E-2</v>
      </c>
      <c r="F30">
        <v>214.3</v>
      </c>
      <c r="G30" s="75">
        <v>2.3889154323937021</v>
      </c>
      <c r="H30">
        <v>173.2</v>
      </c>
      <c r="I30" s="75">
        <v>2.1226415094339472</v>
      </c>
      <c r="J30">
        <v>179.5</v>
      </c>
      <c r="K30" s="77">
        <v>0.61659192825112541</v>
      </c>
      <c r="L30">
        <v>170</v>
      </c>
      <c r="M30" s="77">
        <v>-2.8016009148084606</v>
      </c>
      <c r="N30">
        <v>172.2</v>
      </c>
      <c r="O30" s="77">
        <v>-2.3255813953488484</v>
      </c>
      <c r="P30">
        <v>161</v>
      </c>
      <c r="Q30" s="77">
        <v>3.6036036036035881</v>
      </c>
      <c r="R30">
        <v>175.6</v>
      </c>
      <c r="S30" s="77">
        <v>1.2687427912341178</v>
      </c>
      <c r="T30">
        <v>122.7</v>
      </c>
      <c r="U30" s="77">
        <v>1.1541632316570514</v>
      </c>
      <c r="V30">
        <v>218</v>
      </c>
      <c r="W30" s="77">
        <v>2.3954908407703073</v>
      </c>
      <c r="X30">
        <v>173.4</v>
      </c>
      <c r="Y30" s="77">
        <v>0.28918449971082794</v>
      </c>
      <c r="Z30">
        <v>194.2</v>
      </c>
      <c r="AA30" s="77">
        <v>0.36175710594315547</v>
      </c>
      <c r="AB30">
        <v>179.1</v>
      </c>
      <c r="AC30" s="77">
        <v>0.67453625632376202</v>
      </c>
      <c r="AD30" s="78">
        <v>177.45384615384617</v>
      </c>
      <c r="AE30">
        <v>201</v>
      </c>
      <c r="AF30" s="77">
        <v>0.1994017946161506</v>
      </c>
      <c r="AG30">
        <v>187.3</v>
      </c>
      <c r="AH30" s="77">
        <v>0.21401819154630175</v>
      </c>
      <c r="AI30">
        <v>179.7</v>
      </c>
      <c r="AJ30" s="77">
        <v>0.2790178571428612</v>
      </c>
      <c r="AK30">
        <v>186.2</v>
      </c>
      <c r="AL30" s="77">
        <v>0.26925148088314188</v>
      </c>
      <c r="AM30" s="78">
        <v>184.4</v>
      </c>
      <c r="AN30">
        <v>175.6</v>
      </c>
      <c r="AO30" s="77">
        <v>0.22831050228310801</v>
      </c>
      <c r="AP30">
        <v>182.8</v>
      </c>
      <c r="AQ30" s="77">
        <v>0.60539350577877826</v>
      </c>
      <c r="AR30">
        <v>175.2</v>
      </c>
      <c r="AS30" s="77">
        <v>0.34364261168384758</v>
      </c>
      <c r="AT30">
        <v>185.7</v>
      </c>
      <c r="AU30" s="77">
        <v>0.37837837837837185</v>
      </c>
      <c r="AV30">
        <v>164.8</v>
      </c>
      <c r="AW30" s="77">
        <v>0.18237082066869448</v>
      </c>
      <c r="AX30">
        <v>171.2</v>
      </c>
      <c r="AY30" s="77">
        <v>0.29291154071471226</v>
      </c>
      <c r="AZ30">
        <v>177.1</v>
      </c>
      <c r="BA30" s="77">
        <v>0.39682539682539186</v>
      </c>
      <c r="BB30">
        <v>185.2</v>
      </c>
      <c r="BC30" s="77">
        <v>0.65217391304346961</v>
      </c>
      <c r="BD30">
        <v>175.7</v>
      </c>
      <c r="BE30" s="77">
        <v>0.40000000000000568</v>
      </c>
      <c r="BF30">
        <v>179.1</v>
      </c>
      <c r="BG30" s="77">
        <v>0.56148231330712406</v>
      </c>
      <c r="BH30">
        <v>71.67</v>
      </c>
      <c r="BI30" s="78">
        <f t="shared" si="0"/>
        <v>-9.4275243270567302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41962-969B-4EFB-9B93-B4528B35132F}">
  <dimension ref="C1:N17"/>
  <sheetViews>
    <sheetView showGridLines="0" zoomScale="70" zoomScaleNormal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O24" sqref="O24"/>
    </sheetView>
  </sheetViews>
  <sheetFormatPr defaultColWidth="12" defaultRowHeight="14.4" x14ac:dyDescent="0.3"/>
  <cols>
    <col min="1" max="1" width="12" customWidth="1"/>
    <col min="3" max="3" width="12.109375" bestFit="1" customWidth="1"/>
    <col min="4" max="4" width="6.88671875" customWidth="1"/>
    <col min="5" max="5" width="6" customWidth="1"/>
    <col min="6" max="6" width="12.6640625" bestFit="1" customWidth="1"/>
    <col min="7" max="7" width="27.109375" customWidth="1"/>
    <col min="8" max="8" width="15.88671875" customWidth="1"/>
    <col min="9" max="9" width="15.109375" customWidth="1"/>
    <col min="10" max="10" width="14.33203125" customWidth="1"/>
    <col min="11" max="11" width="20.44140625" customWidth="1"/>
    <col min="12" max="12" width="18.6640625" customWidth="1"/>
    <col min="13" max="13" width="18.88671875" customWidth="1"/>
  </cols>
  <sheetData>
    <row r="1" spans="3:14" ht="15" thickBot="1" x14ac:dyDescent="0.35"/>
    <row r="2" spans="3:14" ht="37.200000000000003" thickBot="1" x14ac:dyDescent="0.35">
      <c r="D2" s="6" t="s">
        <v>51</v>
      </c>
      <c r="E2" s="5"/>
      <c r="F2" s="5"/>
      <c r="G2" s="5"/>
      <c r="H2" s="5"/>
      <c r="I2" s="5"/>
      <c r="J2" s="5"/>
      <c r="K2" s="5"/>
      <c r="L2" s="7"/>
      <c r="M2" s="7"/>
      <c r="N2" s="8"/>
    </row>
    <row r="5" spans="3:14" s="1" customFormat="1" x14ac:dyDescent="0.3">
      <c r="C5" s="2" t="s">
        <v>0</v>
      </c>
      <c r="D5" s="2" t="s">
        <v>1</v>
      </c>
      <c r="E5" s="2" t="s">
        <v>2</v>
      </c>
      <c r="F5" s="3" t="s">
        <v>53</v>
      </c>
      <c r="G5" s="2" t="s">
        <v>16</v>
      </c>
      <c r="H5" s="2" t="s">
        <v>54</v>
      </c>
      <c r="I5" s="2" t="s">
        <v>49</v>
      </c>
      <c r="J5" s="2" t="s">
        <v>50</v>
      </c>
      <c r="K5" s="2" t="s">
        <v>24</v>
      </c>
      <c r="L5" s="2" t="s">
        <v>25</v>
      </c>
      <c r="M5" s="2" t="s">
        <v>28</v>
      </c>
      <c r="N5" s="2" t="s">
        <v>52</v>
      </c>
    </row>
    <row r="6" spans="3:14" x14ac:dyDescent="0.3">
      <c r="C6" s="23" t="s">
        <v>30</v>
      </c>
      <c r="D6" s="23">
        <v>2023</v>
      </c>
      <c r="E6" s="23" t="s">
        <v>38</v>
      </c>
      <c r="F6" s="24">
        <v>2290.7000000000007</v>
      </c>
      <c r="G6" s="23">
        <v>199.9</v>
      </c>
      <c r="H6" s="25">
        <v>569.90000000000009</v>
      </c>
      <c r="I6" s="23">
        <v>362.3</v>
      </c>
      <c r="J6" s="23">
        <v>553</v>
      </c>
      <c r="K6" s="23">
        <v>169.7</v>
      </c>
      <c r="L6" s="23">
        <v>173.8</v>
      </c>
      <c r="M6" s="23">
        <v>179.5</v>
      </c>
      <c r="N6" s="23">
        <f>SUM(F6:M6)</f>
        <v>4498.8000000000011</v>
      </c>
    </row>
    <row r="7" spans="3:14" x14ac:dyDescent="0.3">
      <c r="C7" s="23" t="s">
        <v>33</v>
      </c>
      <c r="D7" s="23">
        <v>2023</v>
      </c>
      <c r="E7" s="23" t="s">
        <v>38</v>
      </c>
      <c r="F7" s="24">
        <v>2335.1</v>
      </c>
      <c r="G7" s="23">
        <v>204.2</v>
      </c>
      <c r="H7" s="25">
        <v>528.70000000000005</v>
      </c>
      <c r="I7" s="23">
        <v>529.1</v>
      </c>
      <c r="J7" s="23">
        <v>542.6</v>
      </c>
      <c r="K7" s="23">
        <v>160.4</v>
      </c>
      <c r="L7" s="23">
        <v>169.2</v>
      </c>
      <c r="M7" s="23">
        <v>171.6</v>
      </c>
      <c r="N7" s="23">
        <f t="shared" ref="N7:N8" si="0">SUM(F7:M7)</f>
        <v>4640.8999999999996</v>
      </c>
    </row>
    <row r="8" spans="3:14" x14ac:dyDescent="0.3">
      <c r="C8" s="23" t="s">
        <v>34</v>
      </c>
      <c r="D8" s="23">
        <v>2023</v>
      </c>
      <c r="E8" s="23" t="s">
        <v>38</v>
      </c>
      <c r="F8" s="24">
        <v>2306.9</v>
      </c>
      <c r="G8" s="23">
        <v>201</v>
      </c>
      <c r="H8" s="25">
        <v>553.20000000000005</v>
      </c>
      <c r="I8" s="23">
        <v>533.59999999999991</v>
      </c>
      <c r="J8" s="23">
        <v>548</v>
      </c>
      <c r="K8" s="23">
        <v>164.8</v>
      </c>
      <c r="L8" s="23">
        <v>171.2</v>
      </c>
      <c r="M8" s="23">
        <v>175.7</v>
      </c>
      <c r="N8" s="23">
        <f t="shared" si="0"/>
        <v>4654.4000000000005</v>
      </c>
    </row>
    <row r="11" spans="3:14" x14ac:dyDescent="0.3">
      <c r="C11" s="2" t="s">
        <v>0</v>
      </c>
      <c r="D11" s="2" t="s">
        <v>1</v>
      </c>
      <c r="E11" s="2" t="s">
        <v>2</v>
      </c>
      <c r="F11" s="3" t="s">
        <v>53</v>
      </c>
      <c r="G11" s="2" t="s">
        <v>16</v>
      </c>
      <c r="H11" s="2" t="s">
        <v>54</v>
      </c>
      <c r="I11" s="2" t="s">
        <v>49</v>
      </c>
      <c r="J11" s="2" t="s">
        <v>50</v>
      </c>
      <c r="K11" s="2" t="s">
        <v>24</v>
      </c>
      <c r="L11" s="2" t="s">
        <v>25</v>
      </c>
      <c r="M11" s="2" t="s">
        <v>28</v>
      </c>
    </row>
    <row r="12" spans="3:14" x14ac:dyDescent="0.3">
      <c r="C12" s="23" t="s">
        <v>30</v>
      </c>
      <c r="D12" s="23">
        <v>2023</v>
      </c>
      <c r="E12" s="23" t="s">
        <v>38</v>
      </c>
      <c r="F12" s="27">
        <f>F6/$N6</f>
        <v>0.50918022583800127</v>
      </c>
      <c r="G12" s="27">
        <f t="shared" ref="G12:M12" si="1">G6/$N6</f>
        <v>4.4434071307904319E-2</v>
      </c>
      <c r="H12" s="27">
        <f t="shared" si="1"/>
        <v>0.12667822530452563</v>
      </c>
      <c r="I12" s="27">
        <f t="shared" si="1"/>
        <v>8.0532586467502429E-2</v>
      </c>
      <c r="J12" s="27">
        <f t="shared" si="1"/>
        <v>0.12292166800035562</v>
      </c>
      <c r="K12" s="27">
        <f t="shared" si="1"/>
        <v>3.7721170089801713E-2</v>
      </c>
      <c r="L12" s="27">
        <f t="shared" si="1"/>
        <v>3.8632524228683199E-2</v>
      </c>
      <c r="M12" s="27">
        <f t="shared" si="1"/>
        <v>3.9899528763225736E-2</v>
      </c>
    </row>
    <row r="13" spans="3:14" x14ac:dyDescent="0.3">
      <c r="C13" s="23" t="s">
        <v>33</v>
      </c>
      <c r="D13" s="23">
        <v>2023</v>
      </c>
      <c r="E13" s="23" t="s">
        <v>38</v>
      </c>
      <c r="F13" s="27">
        <f t="shared" ref="F13:M13" si="2">F7/$N7</f>
        <v>0.50315671529229244</v>
      </c>
      <c r="G13" s="27">
        <f t="shared" si="2"/>
        <v>4.4000086190178631E-2</v>
      </c>
      <c r="H13" s="27">
        <f t="shared" si="2"/>
        <v>0.1139218686030727</v>
      </c>
      <c r="I13" s="27">
        <f t="shared" si="2"/>
        <v>0.11400805878170184</v>
      </c>
      <c r="J13" s="27">
        <f t="shared" si="2"/>
        <v>0.11691697731043549</v>
      </c>
      <c r="K13" s="27">
        <f t="shared" si="2"/>
        <v>3.4562261630287236E-2</v>
      </c>
      <c r="L13" s="27">
        <f t="shared" si="2"/>
        <v>3.6458445560128422E-2</v>
      </c>
      <c r="M13" s="27">
        <f t="shared" si="2"/>
        <v>3.6975586631903298E-2</v>
      </c>
    </row>
    <row r="14" spans="3:14" x14ac:dyDescent="0.3">
      <c r="C14" s="23" t="s">
        <v>34</v>
      </c>
      <c r="D14" s="23">
        <v>2023</v>
      </c>
      <c r="E14" s="23" t="s">
        <v>38</v>
      </c>
      <c r="F14" s="27">
        <f t="shared" ref="F14:M14" si="3">F8/$N8</f>
        <v>0.49563853557923682</v>
      </c>
      <c r="G14" s="27">
        <f t="shared" si="3"/>
        <v>4.3184943279477479E-2</v>
      </c>
      <c r="H14" s="27">
        <f t="shared" si="3"/>
        <v>0.11885527672739772</v>
      </c>
      <c r="I14" s="27">
        <f t="shared" si="3"/>
        <v>0.11464420763148846</v>
      </c>
      <c r="J14" s="27">
        <f t="shared" si="3"/>
        <v>0.1177380543141973</v>
      </c>
      <c r="K14" s="27">
        <f t="shared" si="3"/>
        <v>3.5407356479889997E-2</v>
      </c>
      <c r="L14" s="27">
        <f t="shared" si="3"/>
        <v>3.6782399449982808E-2</v>
      </c>
      <c r="M14" s="27">
        <f t="shared" si="3"/>
        <v>3.7749226538329315E-2</v>
      </c>
    </row>
    <row r="17" spans="3:9" ht="21" x14ac:dyDescent="0.4">
      <c r="C17" s="43" t="s">
        <v>62</v>
      </c>
      <c r="D17" s="43"/>
      <c r="E17" s="43"/>
      <c r="F17" s="43"/>
      <c r="G17" s="43"/>
      <c r="H17" s="43"/>
      <c r="I17" s="43"/>
    </row>
  </sheetData>
  <mergeCells count="1">
    <mergeCell ref="C17:I1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8B8AA-E5B1-462C-A310-BB41C1293647}">
  <dimension ref="B2:T16"/>
  <sheetViews>
    <sheetView showGridLines="0" zoomScale="80" zoomScaleNormal="80" workbookViewId="0">
      <selection activeCell="L42" sqref="L42"/>
    </sheetView>
  </sheetViews>
  <sheetFormatPr defaultRowHeight="14.4" x14ac:dyDescent="0.3"/>
  <cols>
    <col min="2" max="2" width="18.109375" customWidth="1"/>
    <col min="3" max="3" width="10.44140625" customWidth="1"/>
    <col min="8" max="8" width="10.33203125" customWidth="1"/>
    <col min="11" max="11" width="17.88671875" customWidth="1"/>
    <col min="12" max="12" width="13.5546875" customWidth="1"/>
    <col min="13" max="13" width="18.109375" customWidth="1"/>
    <col min="15" max="15" width="13.6640625" customWidth="1"/>
    <col min="16" max="16" width="11.44140625" customWidth="1"/>
    <col min="20" max="20" width="15" customWidth="1"/>
    <col min="21" max="21" width="18.109375" customWidth="1"/>
  </cols>
  <sheetData>
    <row r="2" spans="2:20" ht="28.8" x14ac:dyDescent="0.3">
      <c r="C2" s="48" t="s">
        <v>129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</row>
    <row r="5" spans="2:20" ht="23.4" x14ac:dyDescent="0.45">
      <c r="C5" s="47" t="s">
        <v>56</v>
      </c>
      <c r="D5" s="47"/>
      <c r="E5" s="47"/>
      <c r="F5" s="47"/>
      <c r="G5" s="47"/>
      <c r="H5" s="47"/>
      <c r="I5" s="47"/>
      <c r="J5" s="47"/>
    </row>
    <row r="6" spans="2:20" ht="14.25" customHeight="1" x14ac:dyDescent="0.3"/>
    <row r="7" spans="2:20" x14ac:dyDescent="0.3">
      <c r="B7" s="12"/>
      <c r="C7" s="13" t="s">
        <v>1</v>
      </c>
      <c r="D7" s="13" t="s">
        <v>31</v>
      </c>
      <c r="E7" s="13" t="s">
        <v>46</v>
      </c>
      <c r="F7" s="13" t="s">
        <v>55</v>
      </c>
    </row>
    <row r="8" spans="2:20" ht="25.8" x14ac:dyDescent="0.5">
      <c r="B8" s="46" t="s">
        <v>34</v>
      </c>
      <c r="C8" s="9">
        <v>2017</v>
      </c>
      <c r="D8" s="9">
        <v>130.30000000000001</v>
      </c>
      <c r="E8" s="9">
        <v>137.19999999999999</v>
      </c>
      <c r="F8" s="14">
        <f>(E8-D8)/E8</f>
        <v>5.0291545189504211E-2</v>
      </c>
      <c r="K8" s="52" t="s">
        <v>60</v>
      </c>
      <c r="L8" s="52"/>
      <c r="M8" s="52"/>
      <c r="N8" s="52"/>
      <c r="O8" s="52"/>
      <c r="P8" s="18"/>
      <c r="Q8" s="18"/>
      <c r="R8" s="18"/>
      <c r="S8" s="17"/>
      <c r="T8" s="17"/>
    </row>
    <row r="9" spans="2:20" x14ac:dyDescent="0.3">
      <c r="B9" s="46"/>
      <c r="C9" s="9">
        <v>2018</v>
      </c>
      <c r="D9" s="9">
        <v>136.9</v>
      </c>
      <c r="E9" s="9">
        <v>140.1</v>
      </c>
      <c r="F9" s="14">
        <f t="shared" ref="F9:F13" si="0">(E9-D9)/E9</f>
        <v>2.2840827980014196E-2</v>
      </c>
      <c r="H9" t="s">
        <v>130</v>
      </c>
      <c r="K9" s="13" t="s">
        <v>1</v>
      </c>
      <c r="L9" s="13" t="s">
        <v>2</v>
      </c>
      <c r="M9" s="13" t="s">
        <v>53</v>
      </c>
      <c r="N9" s="13" t="s">
        <v>16</v>
      </c>
      <c r="O9" s="13" t="s">
        <v>54</v>
      </c>
      <c r="P9" s="13" t="s">
        <v>57</v>
      </c>
      <c r="Q9" s="13" t="s">
        <v>58</v>
      </c>
      <c r="R9" s="13" t="s">
        <v>24</v>
      </c>
      <c r="S9" s="13" t="s">
        <v>25</v>
      </c>
      <c r="T9" s="13" t="s">
        <v>28</v>
      </c>
    </row>
    <row r="10" spans="2:20" x14ac:dyDescent="0.3">
      <c r="B10" s="46"/>
      <c r="C10" s="9">
        <v>2019</v>
      </c>
      <c r="D10" s="9">
        <v>139.6</v>
      </c>
      <c r="E10" s="9">
        <v>150.4</v>
      </c>
      <c r="F10" s="15">
        <f t="shared" si="0"/>
        <v>7.1808510638297948E-2</v>
      </c>
      <c r="K10" s="49">
        <v>2019</v>
      </c>
      <c r="L10" s="10" t="s">
        <v>31</v>
      </c>
      <c r="M10" s="9">
        <v>1753.3999999999999</v>
      </c>
      <c r="N10" s="9">
        <v>163.19999999999999</v>
      </c>
      <c r="O10" s="9">
        <v>433</v>
      </c>
      <c r="P10" s="9">
        <v>430.79999999999995</v>
      </c>
      <c r="Q10" s="9">
        <v>428.09999999999997</v>
      </c>
      <c r="R10" s="9">
        <v>123.3</v>
      </c>
      <c r="S10" s="9">
        <v>136.69999999999999</v>
      </c>
      <c r="T10" s="9">
        <v>136.9</v>
      </c>
    </row>
    <row r="11" spans="2:20" x14ac:dyDescent="0.3">
      <c r="B11" s="46"/>
      <c r="C11" s="9">
        <v>2020</v>
      </c>
      <c r="D11" s="9">
        <v>150.19999999999999</v>
      </c>
      <c r="E11" s="9">
        <v>158.9</v>
      </c>
      <c r="F11" s="14">
        <f t="shared" si="0"/>
        <v>5.4751415984896266E-2</v>
      </c>
      <c r="K11" s="50"/>
      <c r="L11" s="10" t="s">
        <v>46</v>
      </c>
      <c r="M11" s="9">
        <v>1946.1000000000001</v>
      </c>
      <c r="N11" s="9">
        <v>168.5</v>
      </c>
      <c r="O11" s="9">
        <v>440.6</v>
      </c>
      <c r="P11" s="9">
        <v>442.3</v>
      </c>
      <c r="Q11" s="9">
        <v>446.5</v>
      </c>
      <c r="R11" s="9">
        <v>129.80000000000001</v>
      </c>
      <c r="S11" s="9">
        <v>142.30000000000001</v>
      </c>
      <c r="T11" s="9">
        <v>142.5</v>
      </c>
    </row>
    <row r="12" spans="2:20" x14ac:dyDescent="0.3">
      <c r="B12" s="46"/>
      <c r="C12" s="9">
        <v>2021</v>
      </c>
      <c r="D12" s="9">
        <v>157.30000000000001</v>
      </c>
      <c r="E12" s="9">
        <v>166.2</v>
      </c>
      <c r="F12" s="14">
        <f t="shared" si="0"/>
        <v>5.3549939831528143E-2</v>
      </c>
      <c r="K12" s="51"/>
      <c r="L12" s="10" t="s">
        <v>59</v>
      </c>
      <c r="M12" s="21">
        <f>(M11-M10)/M10</f>
        <v>0.10990076422949714</v>
      </c>
      <c r="N12" s="20">
        <f t="shared" ref="N12:T12" si="1">(N11-N10)/N10</f>
        <v>3.2475490196078503E-2</v>
      </c>
      <c r="O12" s="20">
        <f t="shared" si="1"/>
        <v>1.7551963048498896E-2</v>
      </c>
      <c r="P12" s="20">
        <f t="shared" si="1"/>
        <v>2.6694521819870143E-2</v>
      </c>
      <c r="Q12" s="20">
        <f t="shared" si="1"/>
        <v>4.298061200654061E-2</v>
      </c>
      <c r="R12" s="20">
        <f t="shared" si="1"/>
        <v>5.2716950527169619E-2</v>
      </c>
      <c r="S12" s="20">
        <f t="shared" si="1"/>
        <v>4.0965618141916772E-2</v>
      </c>
      <c r="T12" s="20">
        <f t="shared" si="1"/>
        <v>4.090577063550032E-2</v>
      </c>
    </row>
    <row r="13" spans="2:20" x14ac:dyDescent="0.3">
      <c r="B13" s="46"/>
      <c r="C13" s="9">
        <v>2022</v>
      </c>
      <c r="D13" s="9">
        <v>165.7</v>
      </c>
      <c r="E13" s="9">
        <v>175.7</v>
      </c>
      <c r="F13" s="14">
        <f t="shared" si="0"/>
        <v>5.6915196357427436E-2</v>
      </c>
    </row>
    <row r="15" spans="2:20" ht="18" x14ac:dyDescent="0.35">
      <c r="K15" s="22" t="s">
        <v>127</v>
      </c>
      <c r="L15" s="22"/>
      <c r="M15" s="22"/>
      <c r="N15" s="22"/>
      <c r="O15" s="22"/>
      <c r="P15" s="22"/>
      <c r="Q15" s="22"/>
    </row>
    <row r="16" spans="2:20" ht="18" x14ac:dyDescent="0.35">
      <c r="K16" s="44" t="s">
        <v>61</v>
      </c>
      <c r="L16" s="45"/>
      <c r="M16" s="45"/>
      <c r="N16" s="45"/>
      <c r="O16" s="45"/>
      <c r="P16" s="45"/>
      <c r="Q16" s="45"/>
    </row>
  </sheetData>
  <mergeCells count="6">
    <mergeCell ref="K16:Q16"/>
    <mergeCell ref="B8:B13"/>
    <mergeCell ref="C5:J5"/>
    <mergeCell ref="C2:P2"/>
    <mergeCell ref="K10:K12"/>
    <mergeCell ref="K8:O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8994F-04FE-4924-BACE-3414795D5475}">
  <dimension ref="A1:P53"/>
  <sheetViews>
    <sheetView showGridLines="0" tabSelected="1" topLeftCell="A2" zoomScale="60" zoomScaleNormal="60" workbookViewId="0">
      <selection activeCell="S55" sqref="S55"/>
    </sheetView>
  </sheetViews>
  <sheetFormatPr defaultRowHeight="14.4" x14ac:dyDescent="0.3"/>
  <cols>
    <col min="2" max="2" width="9" bestFit="1" customWidth="1"/>
    <col min="3" max="3" width="17.88671875" customWidth="1"/>
    <col min="4" max="4" width="12" bestFit="1" customWidth="1"/>
    <col min="5" max="5" width="10.33203125" customWidth="1"/>
    <col min="6" max="6" width="14.88671875" bestFit="1" customWidth="1"/>
    <col min="7" max="7" width="11.33203125" customWidth="1"/>
    <col min="8" max="8" width="8.109375" customWidth="1"/>
    <col min="9" max="9" width="19.6640625" customWidth="1"/>
    <col min="10" max="10" width="27.109375" customWidth="1"/>
    <col min="11" max="11" width="14.109375" customWidth="1"/>
    <col min="12" max="12" width="14.44140625" customWidth="1"/>
    <col min="13" max="13" width="12.44140625" customWidth="1"/>
    <col min="14" max="14" width="30.5546875" bestFit="1" customWidth="1"/>
    <col min="15" max="15" width="26.44140625" bestFit="1" customWidth="1"/>
    <col min="16" max="16" width="30.5546875" bestFit="1" customWidth="1"/>
    <col min="17" max="17" width="26.44140625" bestFit="1" customWidth="1"/>
    <col min="18" max="19" width="30.5546875" bestFit="1" customWidth="1"/>
    <col min="20" max="20" width="24" bestFit="1" customWidth="1"/>
    <col min="21" max="21" width="30.5546875" bestFit="1" customWidth="1"/>
    <col min="22" max="22" width="24" bestFit="1" customWidth="1"/>
    <col min="23" max="23" width="26.44140625" bestFit="1" customWidth="1"/>
    <col min="24" max="24" width="30.5546875" bestFit="1" customWidth="1"/>
    <col min="25" max="25" width="26.44140625" bestFit="1" customWidth="1"/>
    <col min="26" max="27" width="30.5546875" bestFit="1" customWidth="1"/>
    <col min="28" max="29" width="30.6640625" bestFit="1" customWidth="1"/>
  </cols>
  <sheetData>
    <row r="1" spans="1:12" ht="31.2" x14ac:dyDescent="0.3">
      <c r="A1" s="53" t="s">
        <v>80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4" spans="1:12" ht="18" x14ac:dyDescent="0.35">
      <c r="A4" s="56" t="s">
        <v>65</v>
      </c>
      <c r="B4" s="56"/>
      <c r="C4" s="56"/>
      <c r="D4" s="56"/>
      <c r="E4" s="56"/>
      <c r="F4" s="56"/>
      <c r="G4" s="56"/>
      <c r="I4" s="56" t="s">
        <v>77</v>
      </c>
      <c r="J4" s="56"/>
    </row>
    <row r="5" spans="1:12" x14ac:dyDescent="0.3">
      <c r="A5" s="13" t="s">
        <v>1</v>
      </c>
      <c r="B5" s="13" t="s">
        <v>2</v>
      </c>
      <c r="C5" s="13" t="s">
        <v>30</v>
      </c>
      <c r="D5" s="13" t="s">
        <v>34</v>
      </c>
      <c r="E5" s="13" t="s">
        <v>33</v>
      </c>
      <c r="F5" s="13" t="s">
        <v>63</v>
      </c>
      <c r="G5" s="13" t="s">
        <v>64</v>
      </c>
      <c r="I5" s="13" t="s">
        <v>2</v>
      </c>
      <c r="J5" s="13" t="s">
        <v>64</v>
      </c>
    </row>
    <row r="6" spans="1:12" x14ac:dyDescent="0.3">
      <c r="A6" s="13">
        <v>2022</v>
      </c>
      <c r="B6" s="13" t="s">
        <v>39</v>
      </c>
      <c r="C6" s="23">
        <v>2248.3000000000002</v>
      </c>
      <c r="D6" s="23">
        <v>2261.9</v>
      </c>
      <c r="E6" s="23">
        <v>2287.5</v>
      </c>
      <c r="F6" s="23">
        <f>AVERAGE(C6:E6)</f>
        <v>2265.9</v>
      </c>
      <c r="G6" s="23"/>
      <c r="I6" s="13" t="s">
        <v>66</v>
      </c>
      <c r="J6" s="27">
        <v>1.868278976712618E-3</v>
      </c>
    </row>
    <row r="7" spans="1:12" x14ac:dyDescent="0.3">
      <c r="A7" s="13">
        <v>2022</v>
      </c>
      <c r="B7" s="13" t="s">
        <v>40</v>
      </c>
      <c r="C7" s="23">
        <v>2252.5</v>
      </c>
      <c r="D7" s="23">
        <v>2266.3000000000002</v>
      </c>
      <c r="E7" s="23">
        <v>2291.6</v>
      </c>
      <c r="F7" s="23">
        <f t="shared" ref="F7:F17" si="0">AVERAGE(C7:E7)</f>
        <v>2270.1333333333332</v>
      </c>
      <c r="G7" s="26">
        <f>(F7-F6)/F6</f>
        <v>1.868278976712618E-3</v>
      </c>
      <c r="I7" s="13" t="s">
        <v>67</v>
      </c>
      <c r="J7" s="27">
        <v>1.2187243040057321E-3</v>
      </c>
    </row>
    <row r="8" spans="1:12" x14ac:dyDescent="0.3">
      <c r="A8" s="13">
        <v>2022</v>
      </c>
      <c r="B8" s="13" t="s">
        <v>41</v>
      </c>
      <c r="C8" s="23">
        <v>2255.7999999999997</v>
      </c>
      <c r="D8" s="23">
        <v>2269.2000000000003</v>
      </c>
      <c r="E8" s="23">
        <v>2293.6999999999998</v>
      </c>
      <c r="F8" s="23">
        <f t="shared" si="0"/>
        <v>2272.9</v>
      </c>
      <c r="G8" s="26">
        <f t="shared" ref="G8:G17" si="1">(F8-F7)/F7</f>
        <v>1.2187243040057321E-3</v>
      </c>
      <c r="I8" s="13" t="s">
        <v>68</v>
      </c>
      <c r="J8" s="27">
        <v>5.3382609588337416E-3</v>
      </c>
    </row>
    <row r="9" spans="1:12" x14ac:dyDescent="0.3">
      <c r="A9" s="13">
        <v>2022</v>
      </c>
      <c r="B9" s="13" t="s">
        <v>42</v>
      </c>
      <c r="C9" s="23">
        <v>2267.8000000000002</v>
      </c>
      <c r="D9" s="23">
        <v>2280.9</v>
      </c>
      <c r="E9" s="23">
        <v>2306.4</v>
      </c>
      <c r="F9" s="23">
        <f t="shared" si="0"/>
        <v>2285.0333333333333</v>
      </c>
      <c r="G9" s="26">
        <f t="shared" si="1"/>
        <v>5.3382609588337416E-3</v>
      </c>
      <c r="I9" s="13" t="s">
        <v>69</v>
      </c>
      <c r="J9" s="27">
        <v>7.1479628305933475E-3</v>
      </c>
    </row>
    <row r="10" spans="1:12" x14ac:dyDescent="0.3">
      <c r="A10" s="13">
        <v>2022</v>
      </c>
      <c r="B10" s="13" t="s">
        <v>43</v>
      </c>
      <c r="C10" s="23">
        <v>2284.5</v>
      </c>
      <c r="D10" s="23">
        <v>2297.3000000000002</v>
      </c>
      <c r="E10" s="23">
        <v>2322.3000000000002</v>
      </c>
      <c r="F10" s="23">
        <f t="shared" si="0"/>
        <v>2301.3666666666668</v>
      </c>
      <c r="G10" s="26">
        <f t="shared" si="1"/>
        <v>7.1479628305933475E-3</v>
      </c>
      <c r="I10" s="13" t="s">
        <v>70</v>
      </c>
      <c r="J10" s="27">
        <v>-7.5317564925199919E-4</v>
      </c>
    </row>
    <row r="11" spans="1:12" x14ac:dyDescent="0.3">
      <c r="A11" s="13">
        <v>2022</v>
      </c>
      <c r="B11" s="13" t="s">
        <v>45</v>
      </c>
      <c r="C11" s="23">
        <v>2287.6999999999998</v>
      </c>
      <c r="D11" s="23">
        <v>2296.8000000000002</v>
      </c>
      <c r="E11" s="23">
        <v>2314.4</v>
      </c>
      <c r="F11" s="23">
        <f t="shared" si="0"/>
        <v>2299.6333333333332</v>
      </c>
      <c r="G11" s="26">
        <f t="shared" si="1"/>
        <v>-7.5317564925199919E-4</v>
      </c>
      <c r="I11" s="13" t="s">
        <v>71</v>
      </c>
      <c r="J11" s="27">
        <v>-6.174897447419273E-3</v>
      </c>
    </row>
    <row r="12" spans="1:12" x14ac:dyDescent="0.3">
      <c r="A12" s="13">
        <v>2022</v>
      </c>
      <c r="B12" s="13" t="s">
        <v>46</v>
      </c>
      <c r="C12" s="23">
        <v>2277.1</v>
      </c>
      <c r="D12" s="23">
        <v>2283.4</v>
      </c>
      <c r="E12" s="23">
        <v>2295.7999999999997</v>
      </c>
      <c r="F12" s="23">
        <f t="shared" si="0"/>
        <v>2285.4333333333329</v>
      </c>
      <c r="G12" s="26">
        <f t="shared" si="1"/>
        <v>-6.174897447419273E-3</v>
      </c>
      <c r="I12" s="13" t="s">
        <v>72</v>
      </c>
      <c r="J12" s="27">
        <v>4.3463675743479063E-3</v>
      </c>
    </row>
    <row r="13" spans="1:12" x14ac:dyDescent="0.3">
      <c r="A13" s="13">
        <v>2023</v>
      </c>
      <c r="B13" s="13" t="s">
        <v>31</v>
      </c>
      <c r="C13" s="23">
        <v>2283.2000000000003</v>
      </c>
      <c r="D13" s="23">
        <v>2292.6999999999998</v>
      </c>
      <c r="E13" s="23">
        <v>2310.2000000000003</v>
      </c>
      <c r="F13" s="23">
        <f t="shared" si="0"/>
        <v>2295.3666666666668</v>
      </c>
      <c r="G13" s="26">
        <f t="shared" si="1"/>
        <v>4.3463675743479063E-3</v>
      </c>
      <c r="I13" s="13" t="s">
        <v>73</v>
      </c>
      <c r="J13" s="27">
        <v>-5.5328850873499974E-3</v>
      </c>
    </row>
    <row r="14" spans="1:12" x14ac:dyDescent="0.3">
      <c r="A14" s="13">
        <v>2023</v>
      </c>
      <c r="B14" s="13" t="s">
        <v>35</v>
      </c>
      <c r="C14" s="23">
        <v>2265.6999999999998</v>
      </c>
      <c r="D14" s="23">
        <v>2279.1</v>
      </c>
      <c r="E14" s="23">
        <v>2303.1999999999998</v>
      </c>
      <c r="F14" s="23">
        <f t="shared" si="0"/>
        <v>2282.6666666666665</v>
      </c>
      <c r="G14" s="26">
        <f t="shared" si="1"/>
        <v>-5.5328850873499974E-3</v>
      </c>
      <c r="I14" s="13" t="s">
        <v>74</v>
      </c>
      <c r="J14" s="27">
        <v>5.8411214953217905E-5</v>
      </c>
    </row>
    <row r="15" spans="1:12" x14ac:dyDescent="0.3">
      <c r="A15" s="13">
        <v>2023</v>
      </c>
      <c r="B15" s="13" t="s">
        <v>36</v>
      </c>
      <c r="C15" s="23">
        <v>2265.8000000000002</v>
      </c>
      <c r="D15" s="23">
        <v>2279.1999999999998</v>
      </c>
      <c r="E15" s="23">
        <v>2303.4</v>
      </c>
      <c r="F15" s="23">
        <f t="shared" si="0"/>
        <v>2282.7999999999997</v>
      </c>
      <c r="G15" s="26">
        <f t="shared" si="1"/>
        <v>5.8411214953217905E-5</v>
      </c>
      <c r="I15" s="13" t="s">
        <v>75</v>
      </c>
      <c r="J15" s="27">
        <v>4.8332457216285962E-3</v>
      </c>
    </row>
    <row r="16" spans="1:12" x14ac:dyDescent="0.3">
      <c r="A16" s="13">
        <v>2023</v>
      </c>
      <c r="B16" s="13" t="s">
        <v>37</v>
      </c>
      <c r="C16" s="23">
        <v>2274.1999999999998</v>
      </c>
      <c r="D16" s="23">
        <v>2289.6000000000004</v>
      </c>
      <c r="E16" s="23">
        <v>2317.7000000000003</v>
      </c>
      <c r="F16" s="23">
        <f t="shared" si="0"/>
        <v>2293.8333333333335</v>
      </c>
      <c r="G16" s="26">
        <f t="shared" si="1"/>
        <v>4.8332457216285962E-3</v>
      </c>
      <c r="I16" s="13" t="s">
        <v>76</v>
      </c>
      <c r="J16" s="27">
        <v>7.4402383201336644E-3</v>
      </c>
    </row>
    <row r="17" spans="1:16" x14ac:dyDescent="0.3">
      <c r="A17" s="13">
        <v>2023</v>
      </c>
      <c r="B17" s="13" t="s">
        <v>38</v>
      </c>
      <c r="C17" s="23">
        <v>2290.7000000000007</v>
      </c>
      <c r="D17" s="23">
        <v>2306.9</v>
      </c>
      <c r="E17" s="23">
        <v>2335.1</v>
      </c>
      <c r="F17" s="23">
        <f t="shared" si="0"/>
        <v>2310.9</v>
      </c>
      <c r="G17" s="26">
        <f t="shared" si="1"/>
        <v>7.4402383201336644E-3</v>
      </c>
    </row>
    <row r="18" spans="1:16" x14ac:dyDescent="0.3">
      <c r="I18" s="29" t="s">
        <v>78</v>
      </c>
    </row>
    <row r="19" spans="1:16" x14ac:dyDescent="0.3">
      <c r="I19" s="29" t="s">
        <v>79</v>
      </c>
    </row>
    <row r="24" spans="1:16" ht="15" customHeight="1" x14ac:dyDescent="0.3"/>
    <row r="26" spans="1:16" x14ac:dyDescent="0.3">
      <c r="M26" s="55" t="s">
        <v>125</v>
      </c>
      <c r="N26" s="55"/>
      <c r="O26" s="55"/>
      <c r="P26" s="55"/>
    </row>
    <row r="27" spans="1:16" ht="21" x14ac:dyDescent="0.4">
      <c r="A27" s="60" t="s">
        <v>81</v>
      </c>
      <c r="B27" s="60"/>
      <c r="C27" s="60"/>
      <c r="D27" s="60"/>
      <c r="E27" s="60"/>
      <c r="F27" s="60"/>
      <c r="G27" s="60"/>
      <c r="H27" s="60"/>
      <c r="I27" s="60"/>
      <c r="J27" s="60"/>
      <c r="M27" s="55" t="s">
        <v>126</v>
      </c>
      <c r="N27" s="55"/>
      <c r="O27" s="55"/>
      <c r="P27" s="55"/>
    </row>
    <row r="33" spans="2:6" x14ac:dyDescent="0.3">
      <c r="F33" s="41"/>
    </row>
    <row r="36" spans="2:6" x14ac:dyDescent="0.3">
      <c r="B36" s="57" t="s">
        <v>34</v>
      </c>
      <c r="C36" s="13" t="s">
        <v>2</v>
      </c>
      <c r="D36" s="31">
        <v>44713</v>
      </c>
      <c r="E36" s="31">
        <v>45047</v>
      </c>
      <c r="F36" s="13" t="s">
        <v>55</v>
      </c>
    </row>
    <row r="37" spans="2:6" x14ac:dyDescent="0.3">
      <c r="B37" s="58"/>
      <c r="C37" s="28" t="s">
        <v>3</v>
      </c>
      <c r="D37" s="23">
        <v>155</v>
      </c>
      <c r="E37" s="23">
        <v>173.7</v>
      </c>
      <c r="F37" s="27">
        <f>(E37-D37)/D37</f>
        <v>0.1206451612903225</v>
      </c>
    </row>
    <row r="38" spans="2:6" x14ac:dyDescent="0.3">
      <c r="B38" s="58"/>
      <c r="C38" s="28" t="s">
        <v>4</v>
      </c>
      <c r="D38" s="23">
        <v>219.4</v>
      </c>
      <c r="E38" s="23">
        <v>214.3</v>
      </c>
      <c r="F38" s="27">
        <f t="shared" ref="F38:F49" si="2">(E38-D38)/D38</f>
        <v>-2.3245214220601614E-2</v>
      </c>
    </row>
    <row r="39" spans="2:6" x14ac:dyDescent="0.3">
      <c r="B39" s="58"/>
      <c r="C39" s="28" t="s">
        <v>5</v>
      </c>
      <c r="D39" s="23">
        <v>170.8</v>
      </c>
      <c r="E39" s="23">
        <v>173.2</v>
      </c>
      <c r="F39" s="27">
        <f t="shared" si="2"/>
        <v>1.4051522248243426E-2</v>
      </c>
    </row>
    <row r="40" spans="2:6" x14ac:dyDescent="0.3">
      <c r="B40" s="58"/>
      <c r="C40" s="28" t="s">
        <v>6</v>
      </c>
      <c r="D40" s="23">
        <v>165.8</v>
      </c>
      <c r="E40" s="23">
        <v>179.5</v>
      </c>
      <c r="F40" s="27">
        <f t="shared" si="2"/>
        <v>8.2629674306393175E-2</v>
      </c>
    </row>
    <row r="41" spans="2:6" x14ac:dyDescent="0.3">
      <c r="B41" s="58"/>
      <c r="C41" s="28" t="s">
        <v>7</v>
      </c>
      <c r="D41" s="23">
        <v>200.9</v>
      </c>
      <c r="E41" s="23">
        <v>170</v>
      </c>
      <c r="F41" s="27">
        <f t="shared" si="2"/>
        <v>-0.15380786460925835</v>
      </c>
    </row>
    <row r="42" spans="2:6" x14ac:dyDescent="0.3">
      <c r="B42" s="58"/>
      <c r="C42" s="28" t="s">
        <v>8</v>
      </c>
      <c r="D42" s="23">
        <v>169.7</v>
      </c>
      <c r="E42" s="23">
        <v>172.2</v>
      </c>
      <c r="F42" s="27">
        <f t="shared" si="2"/>
        <v>1.4731879787860933E-2</v>
      </c>
    </row>
    <row r="43" spans="2:6" x14ac:dyDescent="0.3">
      <c r="B43" s="58"/>
      <c r="C43" s="28" t="s">
        <v>9</v>
      </c>
      <c r="D43" s="23">
        <v>182.3</v>
      </c>
      <c r="E43" s="23">
        <v>161</v>
      </c>
      <c r="F43" s="27">
        <f t="shared" si="2"/>
        <v>-0.11684037301151953</v>
      </c>
    </row>
    <row r="44" spans="2:6" x14ac:dyDescent="0.3">
      <c r="B44" s="58"/>
      <c r="C44" s="28" t="s">
        <v>10</v>
      </c>
      <c r="D44" s="23">
        <v>164.3</v>
      </c>
      <c r="E44" s="23">
        <v>175.6</v>
      </c>
      <c r="F44" s="27">
        <f t="shared" si="2"/>
        <v>6.8776628119293873E-2</v>
      </c>
    </row>
    <row r="45" spans="2:6" x14ac:dyDescent="0.3">
      <c r="B45" s="58"/>
      <c r="C45" s="28" t="s">
        <v>11</v>
      </c>
      <c r="D45" s="23">
        <v>119.9</v>
      </c>
      <c r="E45" s="23">
        <v>122.7</v>
      </c>
      <c r="F45" s="27">
        <f t="shared" si="2"/>
        <v>2.3352793994995805E-2</v>
      </c>
    </row>
    <row r="46" spans="2:6" x14ac:dyDescent="0.3">
      <c r="B46" s="58"/>
      <c r="C46" s="28" t="s">
        <v>12</v>
      </c>
      <c r="D46" s="23">
        <v>187.1</v>
      </c>
      <c r="E46" s="23">
        <v>218</v>
      </c>
      <c r="F46" s="27">
        <f t="shared" si="2"/>
        <v>0.16515232495991453</v>
      </c>
    </row>
    <row r="47" spans="2:6" x14ac:dyDescent="0.3">
      <c r="B47" s="58"/>
      <c r="C47" s="28" t="s">
        <v>13</v>
      </c>
      <c r="D47" s="23">
        <v>167.9</v>
      </c>
      <c r="E47" s="23">
        <v>173.4</v>
      </c>
      <c r="F47" s="27">
        <f t="shared" si="2"/>
        <v>3.2757593805836809E-2</v>
      </c>
    </row>
    <row r="48" spans="2:6" x14ac:dyDescent="0.3">
      <c r="B48" s="58"/>
      <c r="C48" s="28" t="s">
        <v>14</v>
      </c>
      <c r="D48" s="23">
        <v>183.9</v>
      </c>
      <c r="E48" s="23">
        <v>194.2</v>
      </c>
      <c r="F48" s="27">
        <f t="shared" si="2"/>
        <v>5.6008700380641561E-2</v>
      </c>
    </row>
    <row r="49" spans="2:9" x14ac:dyDescent="0.3">
      <c r="B49" s="59"/>
      <c r="C49" s="28" t="s">
        <v>15</v>
      </c>
      <c r="D49" s="23">
        <v>174.9</v>
      </c>
      <c r="E49" s="23">
        <v>179.1</v>
      </c>
      <c r="F49" s="27">
        <f t="shared" si="2"/>
        <v>2.4013722126929607E-2</v>
      </c>
    </row>
    <row r="52" spans="2:9" x14ac:dyDescent="0.3">
      <c r="B52" s="55" t="s">
        <v>123</v>
      </c>
      <c r="C52" s="55"/>
      <c r="D52" s="55"/>
      <c r="E52" s="55"/>
      <c r="F52" s="55"/>
      <c r="G52" s="55"/>
      <c r="H52" s="55"/>
      <c r="I52" s="55"/>
    </row>
    <row r="53" spans="2:9" x14ac:dyDescent="0.3">
      <c r="B53" s="55" t="s">
        <v>124</v>
      </c>
      <c r="C53" s="55"/>
      <c r="D53" s="55"/>
      <c r="E53" s="55"/>
      <c r="F53" s="55"/>
      <c r="G53" s="55"/>
      <c r="H53" s="55"/>
      <c r="I53" s="55"/>
    </row>
  </sheetData>
  <mergeCells count="9">
    <mergeCell ref="A1:L1"/>
    <mergeCell ref="M26:P26"/>
    <mergeCell ref="M27:P27"/>
    <mergeCell ref="B52:I52"/>
    <mergeCell ref="B53:I53"/>
    <mergeCell ref="A4:G4"/>
    <mergeCell ref="I4:J4"/>
    <mergeCell ref="B36:B49"/>
    <mergeCell ref="A27:J27"/>
  </mergeCells>
  <conditionalFormatting sqref="F37:F49">
    <cfRule type="top10" dxfId="3" priority="1" bottom="1" rank="1"/>
    <cfRule type="top10" dxfId="2" priority="2" rank="1"/>
  </conditionalFormatting>
  <conditionalFormatting sqref="J6:J15">
    <cfRule type="top10" dxfId="1" priority="3" bottom="1" rank="1"/>
  </conditionalFormatting>
  <conditionalFormatting sqref="J6:J16">
    <cfRule type="top10" dxfId="0" priority="4" rank="1"/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12F03-271F-4C41-9BE3-1F944D41B028}">
  <dimension ref="C1:N76"/>
  <sheetViews>
    <sheetView showGridLines="0" topLeftCell="A45" zoomScale="80" zoomScaleNormal="80" workbookViewId="0">
      <selection activeCell="E32" sqref="E32"/>
    </sheetView>
  </sheetViews>
  <sheetFormatPr defaultRowHeight="14.4" x14ac:dyDescent="0.3"/>
  <cols>
    <col min="2" max="2" width="3.44140625" customWidth="1"/>
    <col min="3" max="3" width="17.6640625" customWidth="1"/>
    <col min="4" max="4" width="13.44140625" customWidth="1"/>
    <col min="5" max="5" width="14.33203125" customWidth="1"/>
    <col min="7" max="7" width="16.88671875" customWidth="1"/>
    <col min="9" max="9" width="3.5546875" customWidth="1"/>
    <col min="10" max="10" width="18.88671875" customWidth="1"/>
    <col min="11" max="11" width="12.109375" customWidth="1"/>
    <col min="12" max="12" width="14" customWidth="1"/>
  </cols>
  <sheetData>
    <row r="1" spans="3:14" ht="25.8" x14ac:dyDescent="0.5">
      <c r="C1" s="62" t="s">
        <v>93</v>
      </c>
      <c r="D1" s="63"/>
      <c r="E1" s="63"/>
      <c r="F1" s="63"/>
      <c r="G1" s="63"/>
      <c r="H1" s="63"/>
      <c r="I1" s="63"/>
      <c r="J1" s="64"/>
    </row>
    <row r="4" spans="3:14" x14ac:dyDescent="0.3">
      <c r="C4" s="65" t="s">
        <v>82</v>
      </c>
      <c r="D4" s="65"/>
      <c r="E4" s="65"/>
      <c r="J4" s="65" t="s">
        <v>83</v>
      </c>
      <c r="K4" s="65"/>
    </row>
    <row r="6" spans="3:14" x14ac:dyDescent="0.3">
      <c r="C6" s="13" t="s">
        <v>84</v>
      </c>
      <c r="D6" s="13" t="s">
        <v>85</v>
      </c>
      <c r="E6" s="30">
        <v>43525</v>
      </c>
      <c r="F6" s="30">
        <v>43862</v>
      </c>
      <c r="G6" s="13" t="s">
        <v>86</v>
      </c>
      <c r="J6" s="13" t="s">
        <v>84</v>
      </c>
      <c r="K6" s="13" t="s">
        <v>85</v>
      </c>
      <c r="L6" s="30">
        <v>43891</v>
      </c>
      <c r="M6" s="30">
        <v>44228</v>
      </c>
      <c r="N6" s="13" t="s">
        <v>86</v>
      </c>
    </row>
    <row r="7" spans="3:14" x14ac:dyDescent="0.3">
      <c r="C7" s="67" t="s">
        <v>87</v>
      </c>
      <c r="D7" s="10" t="s">
        <v>9</v>
      </c>
      <c r="E7" s="9">
        <v>132.6</v>
      </c>
      <c r="F7" s="9">
        <v>170.7</v>
      </c>
      <c r="G7" s="19">
        <v>0.28733031674208143</v>
      </c>
      <c r="J7" s="67" t="s">
        <v>87</v>
      </c>
      <c r="K7" s="10" t="s">
        <v>7</v>
      </c>
      <c r="L7" s="9">
        <v>131.19999999999999</v>
      </c>
      <c r="M7" s="9">
        <v>158.69999999999999</v>
      </c>
      <c r="N7" s="20">
        <v>0.20960365853658539</v>
      </c>
    </row>
    <row r="8" spans="3:14" x14ac:dyDescent="0.3">
      <c r="C8" s="68"/>
      <c r="D8" s="10" t="s">
        <v>10</v>
      </c>
      <c r="E8" s="9">
        <v>121.8</v>
      </c>
      <c r="F8" s="9">
        <v>141.1</v>
      </c>
      <c r="G8" s="19">
        <v>0.15845648604269291</v>
      </c>
      <c r="J8" s="68"/>
      <c r="K8" s="10" t="s">
        <v>5</v>
      </c>
      <c r="L8" s="9">
        <v>148.1</v>
      </c>
      <c r="M8" s="9">
        <v>168.7</v>
      </c>
      <c r="N8" s="20">
        <v>0.13909520594193109</v>
      </c>
    </row>
    <row r="9" spans="3:14" x14ac:dyDescent="0.3">
      <c r="C9" s="68"/>
      <c r="D9" s="10" t="s">
        <v>4</v>
      </c>
      <c r="E9" s="9">
        <v>153</v>
      </c>
      <c r="F9" s="9">
        <v>167.5</v>
      </c>
      <c r="G9" s="19">
        <v>9.4771241830065356E-2</v>
      </c>
      <c r="J9" s="68"/>
      <c r="K9" s="10" t="s">
        <v>13</v>
      </c>
      <c r="L9" s="9">
        <v>136.69999999999999</v>
      </c>
      <c r="M9" s="9">
        <v>155.5</v>
      </c>
      <c r="N9" s="20">
        <v>0.13752743233357728</v>
      </c>
    </row>
    <row r="10" spans="3:14" x14ac:dyDescent="0.3">
      <c r="C10" s="68"/>
      <c r="D10" s="10" t="s">
        <v>12</v>
      </c>
      <c r="E10" s="9">
        <v>139.5</v>
      </c>
      <c r="F10" s="9">
        <v>152</v>
      </c>
      <c r="G10" s="19">
        <v>8.9605734767025089E-2</v>
      </c>
      <c r="J10" s="69"/>
      <c r="K10" s="10" t="s">
        <v>10</v>
      </c>
      <c r="L10" s="9">
        <v>141.1</v>
      </c>
      <c r="M10" s="9">
        <v>158.80000000000001</v>
      </c>
      <c r="N10" s="20">
        <v>0.12544294826364294</v>
      </c>
    </row>
    <row r="11" spans="3:14" x14ac:dyDescent="0.3">
      <c r="C11" s="68"/>
      <c r="D11" s="10" t="s">
        <v>5</v>
      </c>
      <c r="E11" s="9">
        <v>140.30000000000001</v>
      </c>
      <c r="F11" s="9">
        <v>151.80000000000001</v>
      </c>
      <c r="G11" s="19">
        <v>8.1967213114754092E-2</v>
      </c>
      <c r="J11" s="16" t="s">
        <v>88</v>
      </c>
      <c r="K11" s="10" t="s">
        <v>24</v>
      </c>
      <c r="L11" s="9">
        <v>129.9</v>
      </c>
      <c r="M11" s="9">
        <v>145.1</v>
      </c>
      <c r="N11" s="20">
        <v>0.11701308698999222</v>
      </c>
    </row>
    <row r="12" spans="3:14" ht="30" customHeight="1" x14ac:dyDescent="0.3">
      <c r="C12" s="68"/>
      <c r="D12" s="10" t="s">
        <v>7</v>
      </c>
      <c r="E12" s="9">
        <v>122</v>
      </c>
      <c r="F12" s="9">
        <v>131.4</v>
      </c>
      <c r="G12" s="19">
        <v>7.7049180327868894E-2</v>
      </c>
      <c r="J12" s="67" t="s">
        <v>87</v>
      </c>
      <c r="K12" s="10" t="s">
        <v>4</v>
      </c>
      <c r="L12" s="9">
        <v>167</v>
      </c>
      <c r="M12" s="9">
        <v>186.5</v>
      </c>
      <c r="N12" s="20">
        <v>0.11676646706586827</v>
      </c>
    </row>
    <row r="13" spans="3:14" x14ac:dyDescent="0.3">
      <c r="C13" s="69"/>
      <c r="D13" s="10" t="s">
        <v>6</v>
      </c>
      <c r="E13" s="9">
        <v>142.30000000000001</v>
      </c>
      <c r="F13" s="9">
        <v>150.80000000000001</v>
      </c>
      <c r="G13" s="19">
        <v>5.9732958538299366E-2</v>
      </c>
      <c r="J13" s="69"/>
      <c r="K13" s="10" t="s">
        <v>12</v>
      </c>
      <c r="L13" s="9">
        <v>153.19999999999999</v>
      </c>
      <c r="M13" s="9">
        <v>164.2</v>
      </c>
      <c r="N13" s="20">
        <v>7.1801566579634477E-2</v>
      </c>
    </row>
    <row r="14" spans="3:14" x14ac:dyDescent="0.3">
      <c r="C14" s="16" t="s">
        <v>21</v>
      </c>
      <c r="D14" s="10" t="s">
        <v>21</v>
      </c>
      <c r="E14" s="9">
        <v>139.69999999999999</v>
      </c>
      <c r="F14" s="9">
        <v>147.19999999999999</v>
      </c>
      <c r="G14" s="19">
        <v>5.368647100930566E-2</v>
      </c>
      <c r="J14" s="16" t="s">
        <v>23</v>
      </c>
      <c r="K14" s="10" t="s">
        <v>23</v>
      </c>
      <c r="L14" s="9">
        <v>152.30000000000001</v>
      </c>
      <c r="M14" s="9">
        <v>161.30000000000001</v>
      </c>
      <c r="N14" s="20">
        <v>5.9093893630991462E-2</v>
      </c>
    </row>
    <row r="15" spans="3:14" x14ac:dyDescent="0.3">
      <c r="C15" s="16" t="s">
        <v>87</v>
      </c>
      <c r="D15" s="10" t="s">
        <v>3</v>
      </c>
      <c r="E15" s="9">
        <v>137.80000000000001</v>
      </c>
      <c r="F15" s="9">
        <v>144.80000000000001</v>
      </c>
      <c r="G15" s="19">
        <v>5.079825834542815E-2</v>
      </c>
      <c r="J15" s="67" t="s">
        <v>87</v>
      </c>
      <c r="K15" s="10" t="s">
        <v>8</v>
      </c>
      <c r="L15" s="9">
        <v>142.5</v>
      </c>
      <c r="M15" s="9">
        <v>150.69999999999999</v>
      </c>
      <c r="N15" s="20">
        <v>5.7543859649122731E-2</v>
      </c>
    </row>
    <row r="16" spans="3:14" ht="28.8" x14ac:dyDescent="0.3">
      <c r="C16" s="42" t="s">
        <v>24</v>
      </c>
      <c r="D16" s="10" t="s">
        <v>24</v>
      </c>
      <c r="E16" s="9">
        <v>124.6</v>
      </c>
      <c r="F16" s="9">
        <v>130.30000000000001</v>
      </c>
      <c r="G16" s="19">
        <v>4.5746388443017795E-2</v>
      </c>
      <c r="J16" s="69"/>
      <c r="K16" s="10" t="s">
        <v>14</v>
      </c>
      <c r="L16" s="9">
        <v>159.6</v>
      </c>
      <c r="M16" s="9">
        <v>167.5</v>
      </c>
      <c r="N16" s="20">
        <v>4.9498746867167959E-2</v>
      </c>
    </row>
    <row r="17" spans="3:14" x14ac:dyDescent="0.3">
      <c r="C17" s="16" t="s">
        <v>87</v>
      </c>
      <c r="D17" s="10" t="s">
        <v>11</v>
      </c>
      <c r="E17" s="9">
        <v>109</v>
      </c>
      <c r="F17" s="9">
        <v>113.6</v>
      </c>
      <c r="G17" s="19">
        <v>4.2201834862385268E-2</v>
      </c>
      <c r="J17" s="16" t="s">
        <v>21</v>
      </c>
      <c r="K17" s="10" t="s">
        <v>21</v>
      </c>
      <c r="L17" s="9">
        <v>148.9</v>
      </c>
      <c r="M17" s="9">
        <v>152.4</v>
      </c>
      <c r="N17" s="20">
        <v>2.3505708529214239E-2</v>
      </c>
    </row>
    <row r="18" spans="3:14" ht="30" customHeight="1" x14ac:dyDescent="0.3">
      <c r="C18" s="16" t="s">
        <v>23</v>
      </c>
      <c r="D18" s="10" t="s">
        <v>23</v>
      </c>
      <c r="E18" s="9">
        <v>146.19999999999999</v>
      </c>
      <c r="F18" s="9">
        <v>151.69999999999999</v>
      </c>
      <c r="G18" s="19">
        <v>3.761969904240766E-2</v>
      </c>
      <c r="J18" s="67" t="s">
        <v>87</v>
      </c>
      <c r="K18" s="10" t="s">
        <v>6</v>
      </c>
      <c r="L18" s="9">
        <v>151.5</v>
      </c>
      <c r="M18" s="9">
        <v>154.69999999999999</v>
      </c>
      <c r="N18" s="20">
        <v>2.1122112211221046E-2</v>
      </c>
    </row>
    <row r="19" spans="3:14" x14ac:dyDescent="0.3">
      <c r="C19" s="67" t="s">
        <v>87</v>
      </c>
      <c r="D19" s="10" t="s">
        <v>8</v>
      </c>
      <c r="E19" s="9">
        <v>137.6</v>
      </c>
      <c r="F19" s="9">
        <v>141.80000000000001</v>
      </c>
      <c r="G19" s="19">
        <v>3.0523255813953612E-2</v>
      </c>
      <c r="J19" s="68"/>
      <c r="K19" s="10" t="s">
        <v>9</v>
      </c>
      <c r="L19" s="9">
        <v>157.30000000000001</v>
      </c>
      <c r="M19" s="9">
        <v>160</v>
      </c>
      <c r="N19" s="20">
        <v>1.716465352828982E-2</v>
      </c>
    </row>
    <row r="20" spans="3:14" x14ac:dyDescent="0.3">
      <c r="C20" s="68"/>
      <c r="D20" s="10" t="s">
        <v>14</v>
      </c>
      <c r="E20" s="9">
        <v>155.19999999999999</v>
      </c>
      <c r="F20" s="9">
        <v>159.1</v>
      </c>
      <c r="G20" s="19">
        <v>2.5128865979381482E-2</v>
      </c>
      <c r="J20" s="68"/>
      <c r="K20" s="10" t="s">
        <v>11</v>
      </c>
      <c r="L20" s="9">
        <v>113.2</v>
      </c>
      <c r="M20" s="9">
        <v>112.8</v>
      </c>
      <c r="N20" s="20">
        <v>-3.5335689045936898E-3</v>
      </c>
    </row>
    <row r="21" spans="3:14" x14ac:dyDescent="0.3">
      <c r="C21" s="69"/>
      <c r="D21" s="10" t="s">
        <v>13</v>
      </c>
      <c r="E21" s="9">
        <v>133.69999999999999</v>
      </c>
      <c r="F21" s="9">
        <v>136.5</v>
      </c>
      <c r="G21" s="19">
        <v>2.0942408376963439E-2</v>
      </c>
      <c r="J21" s="69"/>
      <c r="K21" s="10" t="s">
        <v>3</v>
      </c>
      <c r="L21" s="9">
        <v>145.1</v>
      </c>
      <c r="M21" s="9">
        <v>144.30000000000001</v>
      </c>
      <c r="N21" s="20">
        <v>-5.5134390075808615E-3</v>
      </c>
    </row>
    <row r="25" spans="3:14" x14ac:dyDescent="0.3">
      <c r="C25" s="66" t="s">
        <v>89</v>
      </c>
      <c r="D25" s="66"/>
      <c r="J25" s="32" t="s">
        <v>89</v>
      </c>
    </row>
    <row r="27" spans="3:14" x14ac:dyDescent="0.3">
      <c r="C27" s="13" t="s">
        <v>84</v>
      </c>
      <c r="D27" s="13" t="s">
        <v>85</v>
      </c>
      <c r="E27" s="13" t="s">
        <v>86</v>
      </c>
      <c r="J27" s="13" t="s">
        <v>84</v>
      </c>
      <c r="K27" s="10" t="s">
        <v>85</v>
      </c>
      <c r="L27" s="10" t="s">
        <v>86</v>
      </c>
    </row>
    <row r="28" spans="3:14" x14ac:dyDescent="0.3">
      <c r="C28" s="67" t="s">
        <v>87</v>
      </c>
      <c r="D28" s="10" t="s">
        <v>9</v>
      </c>
      <c r="E28" s="11">
        <v>0.28733031674208143</v>
      </c>
      <c r="J28" s="70" t="s">
        <v>87</v>
      </c>
      <c r="K28" s="10" t="s">
        <v>7</v>
      </c>
      <c r="L28" s="11">
        <v>0.20960365853658539</v>
      </c>
    </row>
    <row r="29" spans="3:14" x14ac:dyDescent="0.3">
      <c r="C29" s="68"/>
      <c r="D29" s="10" t="s">
        <v>10</v>
      </c>
      <c r="E29" s="11">
        <v>0.15845648604269291</v>
      </c>
      <c r="J29" s="71"/>
      <c r="K29" s="10" t="s">
        <v>5</v>
      </c>
      <c r="L29" s="11">
        <v>0.13909520594193109</v>
      </c>
    </row>
    <row r="30" spans="3:14" x14ac:dyDescent="0.3">
      <c r="C30" s="68"/>
      <c r="D30" s="10" t="s">
        <v>4</v>
      </c>
      <c r="E30" s="11">
        <v>9.4771241830065356E-2</v>
      </c>
      <c r="J30" s="71"/>
      <c r="K30" s="10" t="s">
        <v>13</v>
      </c>
      <c r="L30" s="11">
        <v>0.13752743233357728</v>
      </c>
    </row>
    <row r="31" spans="3:14" x14ac:dyDescent="0.3">
      <c r="C31" s="68"/>
      <c r="D31" s="10" t="s">
        <v>12</v>
      </c>
      <c r="E31" s="11">
        <v>8.9605734767025089E-2</v>
      </c>
      <c r="J31" s="72"/>
      <c r="K31" s="10" t="s">
        <v>10</v>
      </c>
      <c r="L31" s="11">
        <v>0.12544294826364294</v>
      </c>
    </row>
    <row r="32" spans="3:14" x14ac:dyDescent="0.3">
      <c r="C32" s="69"/>
      <c r="D32" s="10" t="s">
        <v>5</v>
      </c>
      <c r="E32" s="11">
        <v>8.1967213114754092E-2</v>
      </c>
      <c r="J32" s="13" t="s">
        <v>88</v>
      </c>
      <c r="K32" s="10" t="s">
        <v>24</v>
      </c>
      <c r="L32" s="11">
        <v>0.11701308698999222</v>
      </c>
    </row>
    <row r="51" spans="3:11" x14ac:dyDescent="0.3">
      <c r="J51" s="13" t="s">
        <v>85</v>
      </c>
      <c r="K51" s="13" t="s">
        <v>90</v>
      </c>
    </row>
    <row r="52" spans="3:11" x14ac:dyDescent="0.3">
      <c r="C52" s="13" t="s">
        <v>85</v>
      </c>
      <c r="D52" s="13" t="s">
        <v>90</v>
      </c>
      <c r="J52" s="13" t="s">
        <v>87</v>
      </c>
      <c r="K52" s="33">
        <v>0.40503609746279745</v>
      </c>
    </row>
    <row r="53" spans="3:11" x14ac:dyDescent="0.3">
      <c r="C53" s="13" t="s">
        <v>87</v>
      </c>
      <c r="D53" s="11">
        <v>0.41085366576384846</v>
      </c>
      <c r="J53" s="13" t="s">
        <v>23</v>
      </c>
      <c r="K53" s="33">
        <v>5.8999999999999997E-2</v>
      </c>
    </row>
    <row r="54" spans="3:11" x14ac:dyDescent="0.3">
      <c r="C54" s="13" t="s">
        <v>23</v>
      </c>
      <c r="D54" s="11">
        <v>3.7999999999999999E-2</v>
      </c>
      <c r="J54" s="13" t="s">
        <v>91</v>
      </c>
      <c r="K54" s="33">
        <v>0.19961268915019792</v>
      </c>
    </row>
    <row r="55" spans="3:11" x14ac:dyDescent="0.3">
      <c r="C55" s="13" t="s">
        <v>91</v>
      </c>
      <c r="D55" s="11">
        <v>9.9432859452323455E-2</v>
      </c>
    </row>
    <row r="74" spans="3:10" ht="44.25" customHeight="1" x14ac:dyDescent="0.3">
      <c r="C74" s="61" t="s">
        <v>92</v>
      </c>
      <c r="D74" s="61"/>
      <c r="E74" s="61"/>
      <c r="F74" s="61"/>
      <c r="G74" s="61"/>
      <c r="H74" s="61"/>
      <c r="I74" s="61"/>
      <c r="J74" s="61"/>
    </row>
    <row r="75" spans="3:10" ht="45.75" customHeight="1" x14ac:dyDescent="0.3">
      <c r="C75" s="61" t="s">
        <v>94</v>
      </c>
      <c r="D75" s="61"/>
      <c r="E75" s="61"/>
      <c r="F75" s="61"/>
      <c r="G75" s="61"/>
      <c r="H75" s="61"/>
      <c r="I75" s="61"/>
      <c r="J75" s="61"/>
    </row>
    <row r="76" spans="3:10" ht="36.75" customHeight="1" x14ac:dyDescent="0.3">
      <c r="C76" s="61" t="s">
        <v>128</v>
      </c>
      <c r="D76" s="61"/>
      <c r="E76" s="61"/>
      <c r="F76" s="61"/>
      <c r="G76" s="61"/>
      <c r="H76" s="61"/>
      <c r="I76" s="61"/>
      <c r="J76" s="61"/>
    </row>
  </sheetData>
  <mergeCells count="15">
    <mergeCell ref="C74:J74"/>
    <mergeCell ref="C75:J75"/>
    <mergeCell ref="C76:J76"/>
    <mergeCell ref="C1:J1"/>
    <mergeCell ref="C4:E4"/>
    <mergeCell ref="J4:K4"/>
    <mergeCell ref="C25:D25"/>
    <mergeCell ref="C28:C32"/>
    <mergeCell ref="J28:J31"/>
    <mergeCell ref="J7:J10"/>
    <mergeCell ref="J12:J13"/>
    <mergeCell ref="J15:J16"/>
    <mergeCell ref="J18:J21"/>
    <mergeCell ref="C7:C13"/>
    <mergeCell ref="C19:C2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C8F9D-0158-4FA3-851B-74F440A94D71}">
  <dimension ref="A1:N31"/>
  <sheetViews>
    <sheetView showGridLines="0" zoomScale="90" zoomScaleNormal="90" workbookViewId="0">
      <selection activeCell="F31" sqref="F31"/>
    </sheetView>
  </sheetViews>
  <sheetFormatPr defaultRowHeight="14.4" x14ac:dyDescent="0.3"/>
  <cols>
    <col min="1" max="1" width="32.44140625" customWidth="1"/>
    <col min="2" max="2" width="19" bestFit="1" customWidth="1"/>
    <col min="3" max="3" width="14" bestFit="1" customWidth="1"/>
  </cols>
  <sheetData>
    <row r="1" spans="1:14" ht="23.4" x14ac:dyDescent="0.45">
      <c r="B1" s="73" t="s">
        <v>121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</row>
    <row r="4" spans="1:14" x14ac:dyDescent="0.3">
      <c r="A4" s="13" t="s">
        <v>85</v>
      </c>
      <c r="B4" s="13" t="s">
        <v>120</v>
      </c>
      <c r="C4" s="13" t="s">
        <v>95</v>
      </c>
    </row>
    <row r="5" spans="1:14" x14ac:dyDescent="0.3">
      <c r="A5" s="13" t="s">
        <v>96</v>
      </c>
      <c r="B5" s="34">
        <v>-0.27716672296543288</v>
      </c>
      <c r="C5" s="35" t="str">
        <f>IF(B5&gt;0,IF(B5&gt;0.19,IF(B5&gt;0.4,"Moderate","Weak"),"Very Weak"),"No Correlation")</f>
        <v>No Correlation</v>
      </c>
    </row>
    <row r="6" spans="1:14" x14ac:dyDescent="0.3">
      <c r="A6" s="13" t="s">
        <v>97</v>
      </c>
      <c r="B6" s="36">
        <v>0.40040064739897835</v>
      </c>
      <c r="C6" s="4" t="str">
        <f t="shared" ref="C6:C31" si="0">IF(B6&gt;0,IF(B6&gt;0.19,IF(B6&gt;0.4,"Moderate","Weak"),"Very Weak"),"No Correlation")</f>
        <v>Moderate</v>
      </c>
    </row>
    <row r="7" spans="1:14" x14ac:dyDescent="0.3">
      <c r="A7" s="13" t="s">
        <v>98</v>
      </c>
      <c r="B7" s="34">
        <v>-0.18170413833249624</v>
      </c>
      <c r="C7" s="35" t="str">
        <f t="shared" si="0"/>
        <v>No Correlation</v>
      </c>
    </row>
    <row r="8" spans="1:14" x14ac:dyDescent="0.3">
      <c r="A8" s="13" t="s">
        <v>99</v>
      </c>
      <c r="B8" s="34">
        <v>-0.30382128884578513</v>
      </c>
      <c r="C8" s="35" t="str">
        <f t="shared" si="0"/>
        <v>No Correlation</v>
      </c>
    </row>
    <row r="9" spans="1:14" x14ac:dyDescent="0.3">
      <c r="A9" s="13" t="s">
        <v>100</v>
      </c>
      <c r="B9" s="36">
        <v>0.43725739659375329</v>
      </c>
      <c r="C9" s="4" t="str">
        <f t="shared" si="0"/>
        <v>Moderate</v>
      </c>
    </row>
    <row r="10" spans="1:14" x14ac:dyDescent="0.3">
      <c r="A10" s="13" t="s">
        <v>101</v>
      </c>
      <c r="B10" s="37">
        <v>8.1210807948636193E-2</v>
      </c>
      <c r="C10" s="38" t="str">
        <f t="shared" si="0"/>
        <v>Very Weak</v>
      </c>
    </row>
    <row r="11" spans="1:14" x14ac:dyDescent="0.3">
      <c r="A11" s="13" t="s">
        <v>102</v>
      </c>
      <c r="B11" s="34">
        <v>-1.2754405554063625E-2</v>
      </c>
      <c r="C11" s="35" t="str">
        <f t="shared" si="0"/>
        <v>No Correlation</v>
      </c>
    </row>
    <row r="12" spans="1:14" x14ac:dyDescent="0.3">
      <c r="A12" s="13" t="s">
        <v>103</v>
      </c>
      <c r="B12" s="34">
        <v>-0.19037684252229373</v>
      </c>
      <c r="C12" s="35" t="str">
        <f t="shared" si="0"/>
        <v>No Correlation</v>
      </c>
    </row>
    <row r="13" spans="1:14" x14ac:dyDescent="0.3">
      <c r="A13" s="13" t="s">
        <v>104</v>
      </c>
      <c r="B13" s="34">
        <v>-0.19438756399822549</v>
      </c>
      <c r="C13" s="35" t="str">
        <f t="shared" si="0"/>
        <v>No Correlation</v>
      </c>
    </row>
    <row r="14" spans="1:14" x14ac:dyDescent="0.3">
      <c r="A14" s="13" t="s">
        <v>12</v>
      </c>
      <c r="B14" s="34">
        <v>-0.17496563611629062</v>
      </c>
      <c r="C14" s="35" t="str">
        <f t="shared" si="0"/>
        <v>No Correlation</v>
      </c>
    </row>
    <row r="15" spans="1:14" x14ac:dyDescent="0.3">
      <c r="A15" s="13" t="s">
        <v>105</v>
      </c>
      <c r="B15" s="39">
        <v>0.20360857280701367</v>
      </c>
      <c r="C15" s="40" t="str">
        <f t="shared" si="0"/>
        <v>Weak</v>
      </c>
    </row>
    <row r="16" spans="1:14" x14ac:dyDescent="0.3">
      <c r="A16" s="13" t="s">
        <v>106</v>
      </c>
      <c r="B16" s="37">
        <v>9.458431629080008E-2</v>
      </c>
      <c r="C16" s="38" t="str">
        <f t="shared" si="0"/>
        <v>Very Weak</v>
      </c>
    </row>
    <row r="17" spans="1:12" x14ac:dyDescent="0.3">
      <c r="A17" s="13" t="s">
        <v>107</v>
      </c>
      <c r="B17" s="37">
        <v>4.0398782178320818E-2</v>
      </c>
      <c r="C17" s="38" t="str">
        <f t="shared" si="0"/>
        <v>Very Weak</v>
      </c>
    </row>
    <row r="18" spans="1:12" x14ac:dyDescent="0.3">
      <c r="A18" s="13" t="s">
        <v>108</v>
      </c>
      <c r="B18" s="37">
        <v>0.1285871604165609</v>
      </c>
      <c r="C18" s="38" t="str">
        <f t="shared" si="0"/>
        <v>Very Weak</v>
      </c>
    </row>
    <row r="19" spans="1:12" x14ac:dyDescent="0.3">
      <c r="A19" s="13" t="s">
        <v>109</v>
      </c>
      <c r="B19" s="37">
        <v>8.2634629496729617E-2</v>
      </c>
      <c r="C19" s="38" t="str">
        <f t="shared" si="0"/>
        <v>Very Weak</v>
      </c>
    </row>
    <row r="20" spans="1:12" x14ac:dyDescent="0.3">
      <c r="A20" s="13" t="s">
        <v>110</v>
      </c>
      <c r="B20" s="37">
        <v>0.13270675725601272</v>
      </c>
      <c r="C20" s="38" t="str">
        <f t="shared" si="0"/>
        <v>Very Weak</v>
      </c>
    </row>
    <row r="21" spans="1:12" x14ac:dyDescent="0.3">
      <c r="A21" s="13" t="s">
        <v>19</v>
      </c>
      <c r="B21" s="37">
        <v>9.5828877358025366E-2</v>
      </c>
      <c r="C21" s="38" t="str">
        <f t="shared" si="0"/>
        <v>Very Weak</v>
      </c>
    </row>
    <row r="22" spans="1:12" x14ac:dyDescent="0.3">
      <c r="A22" s="13" t="s">
        <v>111</v>
      </c>
      <c r="B22" s="37">
        <v>0.11654485541997804</v>
      </c>
      <c r="C22" s="38" t="str">
        <f t="shared" si="0"/>
        <v>Very Weak</v>
      </c>
    </row>
    <row r="23" spans="1:12" x14ac:dyDescent="0.3">
      <c r="A23" s="13" t="s">
        <v>21</v>
      </c>
      <c r="B23" s="37">
        <v>0.16108542742304435</v>
      </c>
      <c r="C23" s="38" t="str">
        <f t="shared" si="0"/>
        <v>Very Weak</v>
      </c>
    </row>
    <row r="24" spans="1:12" x14ac:dyDescent="0.3">
      <c r="A24" s="13" t="s">
        <v>112</v>
      </c>
      <c r="B24" s="34">
        <v>-4.1878242068943895E-2</v>
      </c>
      <c r="C24" s="35" t="str">
        <f t="shared" si="0"/>
        <v>No Correlation</v>
      </c>
    </row>
    <row r="25" spans="1:12" x14ac:dyDescent="0.3">
      <c r="A25" s="13" t="s">
        <v>113</v>
      </c>
      <c r="B25" s="37">
        <v>6.8456783075704908E-2</v>
      </c>
      <c r="C25" s="38" t="str">
        <f t="shared" si="0"/>
        <v>Very Weak</v>
      </c>
      <c r="F25" s="74" t="s">
        <v>122</v>
      </c>
      <c r="G25" s="74"/>
      <c r="H25" s="74"/>
      <c r="I25" s="74"/>
      <c r="J25" s="74"/>
      <c r="K25" s="74"/>
      <c r="L25" s="74"/>
    </row>
    <row r="26" spans="1:12" x14ac:dyDescent="0.3">
      <c r="A26" s="13" t="s">
        <v>114</v>
      </c>
      <c r="B26" s="37">
        <v>0.18569030897298974</v>
      </c>
      <c r="C26" s="38" t="str">
        <f t="shared" si="0"/>
        <v>Very Weak</v>
      </c>
    </row>
    <row r="27" spans="1:12" x14ac:dyDescent="0.3">
      <c r="A27" s="13" t="s">
        <v>115</v>
      </c>
      <c r="B27" s="37">
        <v>0.10416276303257874</v>
      </c>
      <c r="C27" s="38" t="str">
        <f t="shared" si="0"/>
        <v>Very Weak</v>
      </c>
    </row>
    <row r="28" spans="1:12" x14ac:dyDescent="0.3">
      <c r="A28" s="13" t="s">
        <v>116</v>
      </c>
      <c r="B28" s="34">
        <v>-0.17967163234040481</v>
      </c>
      <c r="C28" s="35" t="str">
        <f t="shared" si="0"/>
        <v>No Correlation</v>
      </c>
    </row>
    <row r="29" spans="1:12" x14ac:dyDescent="0.3">
      <c r="A29" s="13" t="s">
        <v>117</v>
      </c>
      <c r="B29" s="37">
        <v>3.9366641967007177E-3</v>
      </c>
      <c r="C29" s="38" t="str">
        <f t="shared" si="0"/>
        <v>Very Weak</v>
      </c>
    </row>
    <row r="30" spans="1:12" x14ac:dyDescent="0.3">
      <c r="A30" s="13" t="s">
        <v>118</v>
      </c>
      <c r="B30" s="37">
        <v>0.12400064278366851</v>
      </c>
      <c r="C30" s="38" t="str">
        <f t="shared" si="0"/>
        <v>Very Weak</v>
      </c>
    </row>
    <row r="31" spans="1:12" x14ac:dyDescent="0.3">
      <c r="A31" s="13" t="s">
        <v>119</v>
      </c>
      <c r="B31" s="37">
        <v>7.6216559007987281E-2</v>
      </c>
      <c r="C31" s="38" t="str">
        <f t="shared" si="0"/>
        <v>Very Weak</v>
      </c>
    </row>
  </sheetData>
  <mergeCells count="2">
    <mergeCell ref="B1:N1"/>
    <mergeCell ref="F25:L25"/>
  </mergeCells>
  <conditionalFormatting sqref="C5:C3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2D1D1-E515-4859-95F4-C93A072661A5}">
  <dimension ref="A1"/>
  <sheetViews>
    <sheetView showGridLines="0" zoomScale="60" zoomScaleNormal="60" workbookViewId="0">
      <selection activeCell="AG39" sqref="AG39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 data</vt:lpstr>
      <vt:lpstr>Extraction</vt:lpstr>
      <vt:lpstr>EDA1</vt:lpstr>
      <vt:lpstr>EDA2</vt:lpstr>
      <vt:lpstr>EDA 3</vt:lpstr>
      <vt:lpstr>EDA4</vt:lpstr>
      <vt:lpstr>EDA5</vt:lpstr>
      <vt:lpstr>Communication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Rajnath Vishwakarma</dc:creator>
  <cp:lastModifiedBy>Rajnath Vishwakarma</cp:lastModifiedBy>
  <cp:lastPrinted>2026-07-19T18:52:54Z</cp:lastPrinted>
  <dcterms:created xsi:type="dcterms:W3CDTF">2026-02-02T12:39:24Z</dcterms:created>
  <dcterms:modified xsi:type="dcterms:W3CDTF">2026-07-19T19:07:59Z</dcterms:modified>
</cp:coreProperties>
</file>